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'Daily'!$A$2:$A$6</f>
            </numRef>
          </cat>
          <val>
            <numRef>
              <f>'Daily'!$B$2:$B$6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'Daily'!$A$2:$A$6</f>
            </numRef>
          </cat>
          <val>
            <numRef>
              <f>'Daily'!$C$2:$C$6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2026-08-21 15:00 — refresh: python scripts/build_dashboard.py</t>
        </is>
      </c>
    </row>
    <row r="4">
      <c r="A4" s="3" t="inlineStr">
        <is>
          <t>Total P&amp;L $</t>
        </is>
      </c>
      <c r="B4" s="4">
        <f>SUM(Trades!$N$2:$N$6)</f>
        <v/>
      </c>
    </row>
    <row r="5">
      <c r="A5" s="3" t="inlineStr">
        <is>
          <t>Closed trades</t>
        </is>
      </c>
      <c r="B5" s="5">
        <f>COUNTIF(Trades!$P$2:$P$6,"Closed")</f>
        <v/>
      </c>
    </row>
    <row r="6">
      <c r="A6" s="3" t="inlineStr">
        <is>
          <t>Win rate</t>
        </is>
      </c>
      <c r="B6" s="6">
        <f>COUNTIF(Trades!$N$2:$N$6,"&gt;0")/B5</f>
        <v/>
      </c>
    </row>
    <row r="7">
      <c r="A7" s="3" t="inlineStr">
        <is>
          <t>Avg win $</t>
        </is>
      </c>
      <c r="B7" s="4">
        <f>AVERAGEIF(Trades!$N$2:$N$6,"&gt;0")</f>
        <v/>
      </c>
    </row>
    <row r="8">
      <c r="A8" s="3" t="inlineStr">
        <is>
          <t>Avg loss $</t>
        </is>
      </c>
      <c r="B8" s="4">
        <f>IF(COUNTIF(Trades!$N$2:$N$6,"&lt;0")=0,0,AVERAGEIF(Trades!$N$2:$N$6,"&lt;0"))</f>
        <v/>
      </c>
    </row>
    <row r="9">
      <c r="A9" s="3" t="inlineStr">
        <is>
          <t>Profit factor</t>
        </is>
      </c>
      <c r="B9" s="7">
        <f>IF(SUMIF(Trades!$N$2:$N$6,"&lt;0")=0,0,-SUMIF(Trades!$N$2:$N$6,"&gt;0")/SUMIF(Trades!$N$2:$N$6,"&lt;0"))</f>
        <v/>
      </c>
    </row>
    <row r="10">
      <c r="A10" s="3" t="inlineStr">
        <is>
          <t>Best day $</t>
        </is>
      </c>
      <c r="B10" s="4">
        <f>MAX(Daily!$B$2:$B$6)</f>
        <v/>
      </c>
    </row>
    <row r="11">
      <c r="A11" s="3" t="inlineStr">
        <is>
          <t>Worst day $</t>
        </is>
      </c>
      <c r="B11" s="4">
        <f>MIN(Daily!$B$2:$B$6)</f>
        <v/>
      </c>
    </row>
    <row r="12">
      <c r="A12" s="3" t="inlineStr">
        <is>
          <t>Commissions $</t>
        </is>
      </c>
      <c r="B12" s="4">
        <f>SUM(Trades!$R$2:$R$6)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  <row r="5">
      <c r="A5" s="9" t="n">
        <v>46254</v>
      </c>
      <c r="B5" s="10" t="inlineStr">
        <is>
          <t>SPX</t>
        </is>
      </c>
      <c r="C5" s="10" t="inlineStr">
        <is>
          <t>PUT</t>
        </is>
      </c>
      <c r="D5" s="10" t="inlineStr">
        <is>
          <t>08-20 10:17</t>
        </is>
      </c>
      <c r="E5" s="10" t="inlineStr">
        <is>
          <t>08-20 14:12</t>
        </is>
      </c>
      <c r="F5" s="10" t="n">
        <v>235</v>
      </c>
      <c r="G5" s="10" t="n">
        <v>10</v>
      </c>
      <c r="H5" s="10" t="n">
        <v>12.8</v>
      </c>
      <c r="I5" s="10" t="n">
        <v>20.9</v>
      </c>
      <c r="J5" s="10" t="n"/>
      <c r="K5" s="10" t="n"/>
      <c r="L5" s="6" t="n">
        <v>0.7929999999999999</v>
      </c>
      <c r="M5" s="6" t="n">
        <v>0.6328</v>
      </c>
      <c r="N5" s="4" t="n">
        <v>810</v>
      </c>
      <c r="O5" s="10" t="inlineStr">
        <is>
          <t>Other</t>
        </is>
      </c>
      <c r="P5" s="10" t="inlineStr">
        <is>
          <t>Closed</t>
        </is>
      </c>
      <c r="Q5" s="10" t="inlineStr"/>
      <c r="R5" s="4" t="n">
        <v>3.26</v>
      </c>
    </row>
    <row r="6">
      <c r="A6" s="9" t="n">
        <v>46255</v>
      </c>
      <c r="B6" s="10" t="inlineStr">
        <is>
          <t>SPX</t>
        </is>
      </c>
      <c r="C6" s="10" t="inlineStr">
        <is>
          <t>CALL</t>
        </is>
      </c>
      <c r="D6" s="10" t="inlineStr">
        <is>
          <t>08-21 11:02</t>
        </is>
      </c>
      <c r="E6" s="10" t="inlineStr">
        <is>
          <t>08-21 11:43</t>
        </is>
      </c>
      <c r="F6" s="10" t="n">
        <v>41</v>
      </c>
      <c r="G6" s="10" t="n">
        <v>11</v>
      </c>
      <c r="H6" s="10" t="n">
        <v>8.4</v>
      </c>
      <c r="I6" s="10" t="n">
        <v>14.3</v>
      </c>
      <c r="J6" s="10" t="n"/>
      <c r="K6" s="10" t="n"/>
      <c r="L6" s="6" t="n">
        <v>0.9048</v>
      </c>
      <c r="M6" s="6" t="n">
        <v>0.7023999999999999</v>
      </c>
      <c r="N6" s="4" t="n">
        <v>590</v>
      </c>
      <c r="O6" s="10" t="inlineStr">
        <is>
          <t>Other</t>
        </is>
      </c>
      <c r="P6" s="10" t="inlineStr">
        <is>
          <t>Closed</t>
        </is>
      </c>
      <c r="Q6" s="10" t="inlineStr"/>
      <c r="R6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SUMPRODUCT((TEXT(Trades!$A$2:$A$6,"yyyy-mm-dd")="2026-08-17")*Trades!$N$2:$N$6)</f>
        <v/>
      </c>
      <c r="C2" s="11">
        <f>SUM($B$2:B2)</f>
        <v/>
      </c>
      <c r="D2">
        <f>SUMPRODUCT((TEXT(Trades!$A$2:$A$6,"yyyy-mm-dd")="2026-08-17")*(Trades!$P$2:$P$6="Closed")*1)</f>
        <v/>
      </c>
      <c r="E2">
        <f>SUMPRODUCT((TEXT(Trades!$A$2:$A$6,"yyyy-mm-dd")="2026-08-17")*(Trades!$N$2:$N$6&gt;0)*1)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SUMPRODUCT((TEXT(Trades!$A$2:$A$6,"yyyy-mm-dd")="2026-08-18")*Trades!$N$2:$N$6)</f>
        <v/>
      </c>
      <c r="C3" s="11">
        <f>SUM($B$2:B3)</f>
        <v/>
      </c>
      <c r="D3">
        <f>SUMPRODUCT((TEXT(Trades!$A$2:$A$6,"yyyy-mm-dd")="2026-08-18")*(Trades!$P$2:$P$6="Closed")*1)</f>
        <v/>
      </c>
      <c r="E3">
        <f>SUMPRODUCT((TEXT(Trades!$A$2:$A$6,"yyyy-mm-dd")="2026-08-18")*(Trades!$N$2:$N$6&gt;0)*1)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SUMPRODUCT((TEXT(Trades!$A$2:$A$6,"yyyy-mm-dd")="2026-08-19")*Trades!$N$2:$N$6)</f>
        <v/>
      </c>
      <c r="C4" s="11">
        <f>SUM($B$2:B4)</f>
        <v/>
      </c>
      <c r="D4">
        <f>SUMPRODUCT((TEXT(Trades!$A$2:$A$6,"yyyy-mm-dd")="2026-08-19")*(Trades!$P$2:$P$6="Closed")*1)</f>
        <v/>
      </c>
      <c r="E4">
        <f>SUMPRODUCT((TEXT(Trades!$A$2:$A$6,"yyyy-mm-dd")="2026-08-19")*(Trades!$N$2:$N$6&gt;0)*1)</f>
        <v/>
      </c>
      <c r="F4">
        <f>D4-E4</f>
        <v/>
      </c>
    </row>
    <row r="5">
      <c r="A5" t="inlineStr">
        <is>
          <t>08/20</t>
        </is>
      </c>
      <c r="B5" s="11">
        <f>SUMPRODUCT((TEXT(Trades!$A$2:$A$6,"yyyy-mm-dd")="2026-08-20")*Trades!$N$2:$N$6)</f>
        <v/>
      </c>
      <c r="C5" s="11">
        <f>SUM($B$2:B5)</f>
        <v/>
      </c>
      <c r="D5">
        <f>SUMPRODUCT((TEXT(Trades!$A$2:$A$6,"yyyy-mm-dd")="2026-08-20")*(Trades!$P$2:$P$6="Closed")*1)</f>
        <v/>
      </c>
      <c r="E5">
        <f>SUMPRODUCT((TEXT(Trades!$A$2:$A$6,"yyyy-mm-dd")="2026-08-20")*(Trades!$N$2:$N$6&gt;0)*1)</f>
        <v/>
      </c>
      <c r="F5">
        <f>D5-E5</f>
        <v/>
      </c>
    </row>
    <row r="6">
      <c r="A6" t="inlineStr">
        <is>
          <t>08/21</t>
        </is>
      </c>
      <c r="B6" s="11">
        <f>SUMPRODUCT((TEXT(Trades!$A$2:$A$6,"yyyy-mm-dd")="2026-08-21")*Trades!$N$2:$N$6)</f>
        <v/>
      </c>
      <c r="C6" s="11">
        <f>SUM($B$2:B6)</f>
        <v/>
      </c>
      <c r="D6">
        <f>SUMPRODUCT((TEXT(Trades!$A$2:$A$6,"yyyy-mm-dd")="2026-08-21")*(Trades!$P$2:$P$6="Closed")*1)</f>
        <v/>
      </c>
      <c r="E6">
        <f>SUMPRODUCT((TEXT(Trades!$A$2:$A$6,"yyyy-mm-dd")="2026-08-21")*(Trades!$N$2:$N$6&gt;0)*1)</f>
        <v/>
      </c>
      <c r="F6">
        <f>D6-E6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SUMIFS(Trades!$N$2:$N$6,Trades!$B$2:$B$6,A3)</f>
        <v/>
      </c>
      <c r="C3">
        <f>COUNTIFS(Trades!$B$2:$B$6,A3,Trades!$P$2:$P$6,"Closed")</f>
        <v/>
      </c>
      <c r="D3" s="13">
        <f>IF(C3=0,0,COUNTIFS(Trades!$B$2:$B$6,A3,Trades!$N$2:$N$6,"&gt;0")/C3)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SUMIFS(Trades!$N$2:$N$6,Trades!$O$2:$O$6,A8)</f>
        <v/>
      </c>
      <c r="C8">
        <f>COUNTIF(Trades!$O$2:$O$6,A8)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SUMIFS(Trades!$N$2:$N$6,Trades!$O$2:$O$6,A9)</f>
        <v/>
      </c>
      <c r="C9">
        <f>COUNTIF(Trades!$O$2:$O$6,A9)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SUMIFS(Trades!$N$2:$N$6,Trades!$O$2:$O$6,A10)</f>
        <v/>
      </c>
      <c r="C10">
        <f>COUNTIF(Trades!$O$2:$O$6,A10)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SUMIFS(Trades!$N$2:$N$6,Trades!$O$2:$O$6,A11)</f>
        <v/>
      </c>
      <c r="C11">
        <f>COUNTIF(Trades!$O$2:$O$6,A11)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SUMIFS(Trades!$N$2:$N$6,Trades!$G$2:$G$6,9)</f>
        <v/>
      </c>
      <c r="C16">
        <f>COUNTIFS(Trades!$G$2:$G$6,9,Trades!$P$2:$P$6,"Closed")</f>
        <v/>
      </c>
    </row>
    <row r="17">
      <c r="A17" t="inlineStr">
        <is>
          <t>10:00</t>
        </is>
      </c>
      <c r="B17" s="11">
        <f>SUMIFS(Trades!$N$2:$N$6,Trades!$G$2:$G$6,10)</f>
        <v/>
      </c>
      <c r="C17">
        <f>COUNTIFS(Trades!$G$2:$G$6,10,Trades!$P$2:$P$6,"Closed")</f>
        <v/>
      </c>
    </row>
    <row r="18">
      <c r="A18" t="inlineStr">
        <is>
          <t>11:00</t>
        </is>
      </c>
      <c r="B18" s="11">
        <f>SUMIFS(Trades!$N$2:$N$6,Trades!$G$2:$G$6,11)</f>
        <v/>
      </c>
      <c r="C18">
        <f>COUNTIFS(Trades!$G$2:$G$6,11,Trades!$P$2:$P$6,"Closed")</f>
        <v/>
      </c>
    </row>
    <row r="19">
      <c r="A19" t="inlineStr">
        <is>
          <t>12:00</t>
        </is>
      </c>
      <c r="B19" s="11">
        <f>SUMIFS(Trades!$N$2:$N$6,Trades!$G$2:$G$6,12)</f>
        <v/>
      </c>
      <c r="C19">
        <f>COUNTIFS(Trades!$G$2:$G$6,12,Trades!$P$2:$P$6,"Closed")</f>
        <v/>
      </c>
    </row>
    <row r="20">
      <c r="A20" t="inlineStr">
        <is>
          <t>13:00</t>
        </is>
      </c>
      <c r="B20" s="11">
        <f>SUMIFS(Trades!$N$2:$N$6,Trades!$G$2:$G$6,13)</f>
        <v/>
      </c>
      <c r="C20">
        <f>COUNTIFS(Trades!$G$2:$G$6,13,Trades!$P$2:$P$6,"Closed")</f>
        <v/>
      </c>
    </row>
    <row r="21">
      <c r="A21" t="inlineStr">
        <is>
          <t>14:00</t>
        </is>
      </c>
      <c r="B21" s="11">
        <f>SUMIFS(Trades!$N$2:$N$6,Trades!$G$2:$G$6,14)</f>
        <v/>
      </c>
      <c r="C21">
        <f>COUNTIFS(Trades!$G$2:$G$6,14,Trades!$P$2:$P$6,"Closed")</f>
        <v/>
      </c>
    </row>
    <row r="22">
      <c r="A22" t="inlineStr">
        <is>
          <t>15:00</t>
        </is>
      </c>
      <c r="B22" s="11">
        <f>SUMIFS(Trades!$N$2:$N$6,Trades!$G$2:$G$6,15)</f>
        <v/>
      </c>
      <c r="C22">
        <f>COUNTIFS(Trades!$G$2:$G$6,15,Trades!$P$2:$P$6,"Closed")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SUMIFS(Trades!$N$2:$N$6,Trades!$Q$2:$Q$6,A27&amp;" *")</f>
        <v/>
      </c>
      <c r="C27">
        <f>COUNTIFS(Trades!$Q$2:$Q$6,A27&amp;" *",Trades!$P$2:$P$6,"Closed")</f>
        <v/>
      </c>
      <c r="D27" s="13">
        <f>IF(C27=0,0,COUNTIFS(Trades!$Q$2:$Q$6,A27&amp;" *",Trades!$N$2:$N$6,"&gt;0")/C27)</f>
        <v/>
      </c>
    </row>
    <row r="28">
      <c r="A28" t="inlineStr">
        <is>
          <t>MEDIUM</t>
        </is>
      </c>
      <c r="B28" s="11">
        <f>SUMIFS(Trades!$N$2:$N$6,Trades!$Q$2:$Q$6,A28&amp;" *")</f>
        <v/>
      </c>
      <c r="C28">
        <f>COUNTIFS(Trades!$Q$2:$Q$6,A28&amp;" *",Trades!$P$2:$P$6,"Closed")</f>
        <v/>
      </c>
      <c r="D28" s="13">
        <f>IF(C28=0,0,COUNTIFS(Trades!$Q$2:$Q$6,A28&amp;" *",Trades!$N$2:$N$6,"&gt;0")/C28)</f>
        <v/>
      </c>
    </row>
    <row r="29">
      <c r="A29" t="inlineStr">
        <is>
          <t>HIGH</t>
        </is>
      </c>
      <c r="B29" s="11">
        <f>SUMIFS(Trades!$N$2:$N$6,Trades!$Q$2:$Q$6,A29&amp;" *")</f>
        <v/>
      </c>
      <c r="C29">
        <f>COUNTIFS(Trades!$Q$2:$Q$6,A29&amp;" *",Trades!$P$2:$P$6,"Closed")</f>
        <v/>
      </c>
      <c r="D29" s="13">
        <f>IF(C29=0,0,COUNTIFS(Trades!$Q$2:$Q$6,A29&amp;" *",Trades!$N$2:$N$6,"&gt;0")/C29)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2026-08-21T20:00:10Z</dcterms:created>
  <dcterms:modified xsi:type="dcterms:W3CDTF">2026-08-21T20:00:10Z</dcterms:modified>
</cp:coreProperties>
</file>