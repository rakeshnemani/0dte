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'Daily'!$A$2:$A$10</f>
            </numRef>
          </cat>
          <val>
            <numRef>
              <f>'Daily'!$B$2:$B$10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'Daily'!$A$2:$A$10</f>
            </numRef>
          </cat>
          <val>
            <numRef>
              <f>'Daily'!$C$2:$C$10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2026-08-28 15:00 — refresh: python scripts/build_dashboard.py</t>
        </is>
      </c>
    </row>
    <row r="4">
      <c r="A4" s="3" t="inlineStr">
        <is>
          <t>Total P&amp;L $</t>
        </is>
      </c>
      <c r="B4" s="4">
        <f>SUM(Trades!$N$2:$N$15)</f>
        <v/>
      </c>
    </row>
    <row r="5">
      <c r="A5" s="3" t="inlineStr">
        <is>
          <t>Closed trades</t>
        </is>
      </c>
      <c r="B5" s="5">
        <f>COUNTIF(Trades!$P$2:$P$15,"Closed")</f>
        <v/>
      </c>
    </row>
    <row r="6">
      <c r="A6" s="3" t="inlineStr">
        <is>
          <t>Win rate</t>
        </is>
      </c>
      <c r="B6" s="6">
        <f>COUNTIF(Trades!$N$2:$N$15,"&gt;0")/B5</f>
        <v/>
      </c>
    </row>
    <row r="7">
      <c r="A7" s="3" t="inlineStr">
        <is>
          <t>Avg win $</t>
        </is>
      </c>
      <c r="B7" s="4">
        <f>AVERAGEIF(Trades!$N$2:$N$15,"&gt;0")</f>
        <v/>
      </c>
    </row>
    <row r="8">
      <c r="A8" s="3" t="inlineStr">
        <is>
          <t>Avg loss $</t>
        </is>
      </c>
      <c r="B8" s="4">
        <f>IF(COUNTIF(Trades!$N$2:$N$15,"&lt;0")=0,0,AVERAGEIF(Trades!$N$2:$N$15,"&lt;0"))</f>
        <v/>
      </c>
    </row>
    <row r="9">
      <c r="A9" s="3" t="inlineStr">
        <is>
          <t>Profit factor</t>
        </is>
      </c>
      <c r="B9" s="7">
        <f>IF(SUMIF(Trades!$N$2:$N$15,"&lt;0")=0,0,-SUMIF(Trades!$N$2:$N$15,"&gt;0")/SUMIF(Trades!$N$2:$N$15,"&lt;0"))</f>
        <v/>
      </c>
    </row>
    <row r="10">
      <c r="A10" s="3" t="inlineStr">
        <is>
          <t>Best day $</t>
        </is>
      </c>
      <c r="B10" s="4">
        <f>MAX(Daily!$B$2:$B$10)</f>
        <v/>
      </c>
    </row>
    <row r="11">
      <c r="A11" s="3" t="inlineStr">
        <is>
          <t>Worst day $</t>
        </is>
      </c>
      <c r="B11" s="4">
        <f>MIN(Daily!$B$2:$B$10)</f>
        <v/>
      </c>
    </row>
    <row r="12">
      <c r="A12" s="3" t="inlineStr">
        <is>
          <t>Commissions $</t>
        </is>
      </c>
      <c r="B12" s="4">
        <f>SUM(Trades!$R$2:$R$15)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  <row r="7">
      <c r="A7" s="9" t="n">
        <v>46258</v>
      </c>
      <c r="B7" s="10" t="inlineStr">
        <is>
          <t>SPX</t>
        </is>
      </c>
      <c r="C7" s="10" t="inlineStr">
        <is>
          <t>CALL</t>
        </is>
      </c>
      <c r="D7" s="10" t="inlineStr">
        <is>
          <t>08-24 11:48</t>
        </is>
      </c>
      <c r="E7" s="10" t="inlineStr"/>
      <c r="F7" s="10" t="n"/>
      <c r="G7" s="10" t="n">
        <v>11</v>
      </c>
      <c r="H7" s="10" t="n">
        <v>7.1</v>
      </c>
      <c r="I7" s="10" t="n"/>
      <c r="J7" s="10" t="n"/>
      <c r="K7" s="10" t="n"/>
      <c r="L7" s="6" t="n"/>
      <c r="M7" s="6" t="n"/>
      <c r="N7" s="4" t="n"/>
      <c r="O7" s="10" t="inlineStr"/>
      <c r="P7" s="10" t="inlineStr">
        <is>
          <t>Orphaned/manual</t>
        </is>
      </c>
      <c r="Q7" s="10" t="inlineStr"/>
      <c r="R7" s="4" t="n"/>
    </row>
    <row r="8">
      <c r="A8" s="9" t="n">
        <v>46258</v>
      </c>
      <c r="B8" s="10" t="inlineStr">
        <is>
          <t>SPX</t>
        </is>
      </c>
      <c r="C8" s="10" t="inlineStr">
        <is>
          <t>CALL</t>
        </is>
      </c>
      <c r="D8" s="10" t="inlineStr">
        <is>
          <t>08-24 11:48</t>
        </is>
      </c>
      <c r="E8" s="10" t="inlineStr">
        <is>
          <t>08-24 13:30</t>
        </is>
      </c>
      <c r="F8" s="10" t="n">
        <v>102</v>
      </c>
      <c r="G8" s="10" t="n">
        <v>11</v>
      </c>
      <c r="H8" s="10" t="n">
        <v>7.3</v>
      </c>
      <c r="I8" s="10" t="n">
        <v>1.25</v>
      </c>
      <c r="J8" s="10" t="n"/>
      <c r="K8" s="10" t="n"/>
      <c r="L8" s="6" t="n">
        <v>0.4296</v>
      </c>
      <c r="M8" s="6" t="n">
        <v>-0.8239</v>
      </c>
      <c r="N8" s="4" t="n">
        <v>-585</v>
      </c>
      <c r="O8" s="10" t="inlineStr">
        <is>
          <t>Other</t>
        </is>
      </c>
      <c r="P8" s="10" t="inlineStr">
        <is>
          <t>Closed</t>
        </is>
      </c>
      <c r="Q8" s="10" t="inlineStr"/>
      <c r="R8" s="4" t="n">
        <v>3.26</v>
      </c>
    </row>
    <row r="9">
      <c r="A9" s="9" t="n">
        <v>46258</v>
      </c>
      <c r="B9" s="10" t="inlineStr">
        <is>
          <t>SPX</t>
        </is>
      </c>
      <c r="C9" s="10" t="inlineStr">
        <is>
          <t>CALL</t>
        </is>
      </c>
      <c r="D9" s="10" t="inlineStr"/>
      <c r="E9" s="10" t="inlineStr">
        <is>
          <t>08-24 13:30</t>
        </is>
      </c>
      <c r="F9" s="10" t="n"/>
      <c r="G9" s="10" t="n"/>
      <c r="H9" s="10" t="n"/>
      <c r="I9" s="10" t="n">
        <v>1.25</v>
      </c>
      <c r="J9" s="10" t="n"/>
      <c r="K9" s="10" t="n"/>
      <c r="L9" s="6" t="n">
        <v>0.3767</v>
      </c>
      <c r="M9" s="6" t="n">
        <v>-0.8288</v>
      </c>
      <c r="N9" s="4" t="n">
        <v>-605</v>
      </c>
      <c r="O9" s="10" t="inlineStr">
        <is>
          <t>Other</t>
        </is>
      </c>
      <c r="P9" s="10" t="inlineStr">
        <is>
          <t>Closed</t>
        </is>
      </c>
      <c r="Q9" s="10" t="inlineStr"/>
      <c r="R9" s="4" t="n">
        <v>3.26</v>
      </c>
    </row>
    <row r="10">
      <c r="A10" s="9" t="n">
        <v>46259</v>
      </c>
      <c r="B10" s="10" t="inlineStr">
        <is>
          <t>SPX</t>
        </is>
      </c>
      <c r="C10" s="10" t="inlineStr">
        <is>
          <t>PUT</t>
        </is>
      </c>
      <c r="D10" s="10" t="inlineStr">
        <is>
          <t>08-25 10:31</t>
        </is>
      </c>
      <c r="E10" s="10" t="inlineStr">
        <is>
          <t>08-25 11:52</t>
        </is>
      </c>
      <c r="F10" s="10" t="n">
        <v>81</v>
      </c>
      <c r="G10" s="10" t="n">
        <v>10</v>
      </c>
      <c r="H10" s="10" t="n">
        <v>8.6</v>
      </c>
      <c r="I10" s="10" t="n">
        <v>2.75</v>
      </c>
      <c r="J10" s="10" t="n"/>
      <c r="K10" s="10" t="n"/>
      <c r="L10" s="6" t="n">
        <v>0</v>
      </c>
      <c r="M10" s="6" t="n">
        <v>-0.6801999999999999</v>
      </c>
      <c r="N10" s="4" t="n">
        <v>-585</v>
      </c>
      <c r="O10" s="10" t="inlineStr">
        <is>
          <t>Other</t>
        </is>
      </c>
      <c r="P10" s="10" t="inlineStr">
        <is>
          <t>Closed</t>
        </is>
      </c>
      <c r="Q10" s="10" t="inlineStr"/>
      <c r="R10" s="4" t="n">
        <v>3.26</v>
      </c>
    </row>
    <row r="11">
      <c r="A11" s="9" t="n">
        <v>46261</v>
      </c>
      <c r="B11" s="10" t="inlineStr">
        <is>
          <t>SPX</t>
        </is>
      </c>
      <c r="C11" s="10" t="inlineStr">
        <is>
          <t>CALL</t>
        </is>
      </c>
      <c r="D11" s="10" t="inlineStr">
        <is>
          <t>08-27 09:33</t>
        </is>
      </c>
      <c r="E11" s="10" t="inlineStr">
        <is>
          <t>08-27 09:42</t>
        </is>
      </c>
      <c r="F11" s="10" t="n">
        <v>9</v>
      </c>
      <c r="G11" s="10" t="n">
        <v>9</v>
      </c>
      <c r="H11" s="10" t="n">
        <v>14.4</v>
      </c>
      <c r="I11" s="10" t="n">
        <v>18.4</v>
      </c>
      <c r="J11" s="10" t="n"/>
      <c r="K11" s="10" t="n"/>
      <c r="L11" s="6" t="n">
        <v>0.3611</v>
      </c>
      <c r="M11" s="6" t="n">
        <v>0.2778</v>
      </c>
      <c r="N11" s="4" t="n">
        <v>400</v>
      </c>
      <c r="O11" s="10" t="inlineStr">
        <is>
          <t>Other</t>
        </is>
      </c>
      <c r="P11" s="10" t="inlineStr">
        <is>
          <t>Closed</t>
        </is>
      </c>
      <c r="Q11" s="10" t="inlineStr"/>
      <c r="R11" s="4" t="n">
        <v>3.26</v>
      </c>
    </row>
    <row r="12">
      <c r="A12" s="9" t="n">
        <v>46261</v>
      </c>
      <c r="B12" s="10" t="inlineStr">
        <is>
          <t>SPX</t>
        </is>
      </c>
      <c r="C12" s="10" t="inlineStr">
        <is>
          <t>CALL</t>
        </is>
      </c>
      <c r="D12" s="10" t="inlineStr">
        <is>
          <t>08-27 09:55</t>
        </is>
      </c>
      <c r="E12" s="10" t="inlineStr">
        <is>
          <t>08-27 11:03</t>
        </is>
      </c>
      <c r="F12" s="10" t="n">
        <v>69</v>
      </c>
      <c r="G12" s="10" t="n">
        <v>9</v>
      </c>
      <c r="H12" s="10" t="n">
        <v>13</v>
      </c>
      <c r="I12" s="10" t="n">
        <v>17.4</v>
      </c>
      <c r="J12" s="10" t="n"/>
      <c r="K12" s="10" t="n"/>
      <c r="L12" s="6" t="n">
        <v>0.4385</v>
      </c>
      <c r="M12" s="6" t="n">
        <v>0.3385</v>
      </c>
      <c r="N12" s="4" t="n">
        <v>440</v>
      </c>
      <c r="O12" s="10" t="inlineStr">
        <is>
          <t>Other</t>
        </is>
      </c>
      <c r="P12" s="10" t="inlineStr">
        <is>
          <t>Closed</t>
        </is>
      </c>
      <c r="Q12" s="10" t="inlineStr"/>
      <c r="R12" s="4" t="n">
        <v>3.26</v>
      </c>
    </row>
    <row r="13">
      <c r="A13" s="9" t="n">
        <v>46262</v>
      </c>
      <c r="B13" s="10" t="inlineStr">
        <is>
          <t>SPX</t>
        </is>
      </c>
      <c r="C13" s="10" t="inlineStr">
        <is>
          <t>CALL</t>
        </is>
      </c>
      <c r="D13" s="10" t="inlineStr">
        <is>
          <t>08-28 09:35</t>
        </is>
      </c>
      <c r="E13" s="10" t="inlineStr">
        <is>
          <t>08-28 11:05</t>
        </is>
      </c>
      <c r="F13" s="10" t="n">
        <v>90</v>
      </c>
      <c r="G13" s="10" t="n">
        <v>9</v>
      </c>
      <c r="H13" s="10" t="n">
        <v>17.4</v>
      </c>
      <c r="I13" s="10" t="n">
        <v>33.4</v>
      </c>
      <c r="J13" s="10" t="n"/>
      <c r="K13" s="10" t="n"/>
      <c r="L13" s="6" t="n">
        <v>1.1753</v>
      </c>
      <c r="M13" s="6" t="n">
        <v>0.9195</v>
      </c>
      <c r="N13" s="4" t="n">
        <v>1600</v>
      </c>
      <c r="O13" s="10" t="inlineStr">
        <is>
          <t>Other</t>
        </is>
      </c>
      <c r="P13" s="10" t="inlineStr">
        <is>
          <t>Closed</t>
        </is>
      </c>
      <c r="Q13" s="10" t="inlineStr"/>
      <c r="R13" s="4" t="n">
        <v>3.26</v>
      </c>
    </row>
    <row r="14">
      <c r="A14" s="9" t="n">
        <v>46262</v>
      </c>
      <c r="B14" s="10" t="inlineStr">
        <is>
          <t>SPX</t>
        </is>
      </c>
      <c r="C14" s="10" t="inlineStr">
        <is>
          <t>PUT</t>
        </is>
      </c>
      <c r="D14" s="10" t="inlineStr">
        <is>
          <t>08-28 13:02</t>
        </is>
      </c>
      <c r="E14" s="10" t="inlineStr">
        <is>
          <t>08-28 15:21</t>
        </is>
      </c>
      <c r="F14" s="10" t="n">
        <v>139</v>
      </c>
      <c r="G14" s="10" t="n">
        <v>13</v>
      </c>
      <c r="H14" s="10" t="n">
        <v>10.5</v>
      </c>
      <c r="I14" s="10" t="n">
        <v>1.75</v>
      </c>
      <c r="J14" s="10" t="n"/>
      <c r="K14" s="10" t="n"/>
      <c r="L14" s="6" t="n">
        <v>0.1524</v>
      </c>
      <c r="M14" s="6" t="n">
        <v>-0.8332999999999999</v>
      </c>
      <c r="N14" s="4" t="n">
        <v>-875</v>
      </c>
      <c r="O14" s="10" t="inlineStr">
        <is>
          <t>Other</t>
        </is>
      </c>
      <c r="P14" s="10" t="inlineStr">
        <is>
          <t>Closed</t>
        </is>
      </c>
      <c r="Q14" s="10" t="inlineStr"/>
      <c r="R14" s="4" t="n">
        <v>3.26</v>
      </c>
    </row>
    <row r="15">
      <c r="A15" s="9" t="n">
        <v>46262</v>
      </c>
      <c r="B15" s="10" t="inlineStr">
        <is>
          <t>SPX</t>
        </is>
      </c>
      <c r="C15" s="10" t="inlineStr">
        <is>
          <t>PUT</t>
        </is>
      </c>
      <c r="D15" s="10" t="inlineStr">
        <is>
          <t>08-28 15:32</t>
        </is>
      </c>
      <c r="E15" s="10" t="inlineStr">
        <is>
          <t>08-28 15:56</t>
        </is>
      </c>
      <c r="F15" s="10" t="n">
        <v>23</v>
      </c>
      <c r="G15" s="10" t="n">
        <v>15</v>
      </c>
      <c r="H15" s="10" t="n">
        <v>3.4</v>
      </c>
      <c r="I15" s="10" t="n">
        <v>1.05</v>
      </c>
      <c r="J15" s="10" t="n"/>
      <c r="K15" s="10" t="n"/>
      <c r="L15" s="6" t="n">
        <v>0.1618</v>
      </c>
      <c r="M15" s="6" t="n">
        <v>-0.6912</v>
      </c>
      <c r="N15" s="4" t="n">
        <v>-235</v>
      </c>
      <c r="O15" s="10" t="inlineStr">
        <is>
          <t>Other</t>
        </is>
      </c>
      <c r="P15" s="10" t="inlineStr">
        <is>
          <t>Closed</t>
        </is>
      </c>
      <c r="Q15" s="10" t="inlineStr"/>
      <c r="R15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SUMPRODUCT((TEXT(Trades!$A$2:$A$15,"yyyy-mm-dd")="2026-08-17")*Trades!$N$2:$N$15)</f>
        <v/>
      </c>
      <c r="C2" s="11">
        <f>SUM($B$2:B2)</f>
        <v/>
      </c>
      <c r="D2">
        <f>SUMPRODUCT((TEXT(Trades!$A$2:$A$15,"yyyy-mm-dd")="2026-08-17")*(Trades!$P$2:$P$15="Closed")*1)</f>
        <v/>
      </c>
      <c r="E2">
        <f>SUMPRODUCT((TEXT(Trades!$A$2:$A$15,"yyyy-mm-dd")="2026-08-17")*(Trades!$N$2:$N$15&gt;0)*1)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SUMPRODUCT((TEXT(Trades!$A$2:$A$15,"yyyy-mm-dd")="2026-08-18")*Trades!$N$2:$N$15)</f>
        <v/>
      </c>
      <c r="C3" s="11">
        <f>SUM($B$2:B3)</f>
        <v/>
      </c>
      <c r="D3">
        <f>SUMPRODUCT((TEXT(Trades!$A$2:$A$15,"yyyy-mm-dd")="2026-08-18")*(Trades!$P$2:$P$15="Closed")*1)</f>
        <v/>
      </c>
      <c r="E3">
        <f>SUMPRODUCT((TEXT(Trades!$A$2:$A$15,"yyyy-mm-dd")="2026-08-18")*(Trades!$N$2:$N$15&gt;0)*1)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SUMPRODUCT((TEXT(Trades!$A$2:$A$15,"yyyy-mm-dd")="2026-08-19")*Trades!$N$2:$N$15)</f>
        <v/>
      </c>
      <c r="C4" s="11">
        <f>SUM($B$2:B4)</f>
        <v/>
      </c>
      <c r="D4">
        <f>SUMPRODUCT((TEXT(Trades!$A$2:$A$15,"yyyy-mm-dd")="2026-08-19")*(Trades!$P$2:$P$15="Closed")*1)</f>
        <v/>
      </c>
      <c r="E4">
        <f>SUMPRODUCT((TEXT(Trades!$A$2:$A$15,"yyyy-mm-dd")="2026-08-19")*(Trades!$N$2:$N$15&gt;0)*1)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SUMPRODUCT((TEXT(Trades!$A$2:$A$15,"yyyy-mm-dd")="2026-08-20")*Trades!$N$2:$N$15)</f>
        <v/>
      </c>
      <c r="C5" s="11">
        <f>SUM($B$2:B5)</f>
        <v/>
      </c>
      <c r="D5">
        <f>SUMPRODUCT((TEXT(Trades!$A$2:$A$15,"yyyy-mm-dd")="2026-08-20")*(Trades!$P$2:$P$15="Closed")*1)</f>
        <v/>
      </c>
      <c r="E5">
        <f>SUMPRODUCT((TEXT(Trades!$A$2:$A$15,"yyyy-mm-dd")="2026-08-20")*(Trades!$N$2:$N$15&gt;0)*1)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SUMPRODUCT((TEXT(Trades!$A$2:$A$15,"yyyy-mm-dd")="2026-08-21")*Trades!$N$2:$N$15)</f>
        <v/>
      </c>
      <c r="C6" s="11">
        <f>SUM($B$2:B6)</f>
        <v/>
      </c>
      <c r="D6">
        <f>SUMPRODUCT((TEXT(Trades!$A$2:$A$15,"yyyy-mm-dd")="2026-08-21")*(Trades!$P$2:$P$15="Closed")*1)</f>
        <v/>
      </c>
      <c r="E6">
        <f>SUMPRODUCT((TEXT(Trades!$A$2:$A$15,"yyyy-mm-dd")="2026-08-21")*(Trades!$N$2:$N$15&gt;0)*1)</f>
        <v/>
      </c>
      <c r="F6">
        <f>D6-E6</f>
        <v/>
      </c>
    </row>
    <row r="7">
      <c r="A7" t="inlineStr">
        <is>
          <t>08/24</t>
        </is>
      </c>
      <c r="B7" s="11">
        <f>SUMPRODUCT((TEXT(Trades!$A$2:$A$15,"yyyy-mm-dd")="2026-08-24")*Trades!$N$2:$N$15)</f>
        <v/>
      </c>
      <c r="C7" s="11">
        <f>SUM($B$2:B7)</f>
        <v/>
      </c>
      <c r="D7">
        <f>SUMPRODUCT((TEXT(Trades!$A$2:$A$15,"yyyy-mm-dd")="2026-08-24")*(Trades!$P$2:$P$15="Closed")*1)</f>
        <v/>
      </c>
      <c r="E7">
        <f>SUMPRODUCT((TEXT(Trades!$A$2:$A$15,"yyyy-mm-dd")="2026-08-24")*(Trades!$N$2:$N$15&gt;0)*1)</f>
        <v/>
      </c>
      <c r="F7">
        <f>D7-E7</f>
        <v/>
      </c>
    </row>
    <row r="8">
      <c r="A8" t="inlineStr">
        <is>
          <t>08/25</t>
        </is>
      </c>
      <c r="B8" s="11">
        <f>SUMPRODUCT((TEXT(Trades!$A$2:$A$15,"yyyy-mm-dd")="2026-08-25")*Trades!$N$2:$N$15)</f>
        <v/>
      </c>
      <c r="C8" s="11">
        <f>SUM($B$2:B8)</f>
        <v/>
      </c>
      <c r="D8">
        <f>SUMPRODUCT((TEXT(Trades!$A$2:$A$15,"yyyy-mm-dd")="2026-08-25")*(Trades!$P$2:$P$15="Closed")*1)</f>
        <v/>
      </c>
      <c r="E8">
        <f>SUMPRODUCT((TEXT(Trades!$A$2:$A$15,"yyyy-mm-dd")="2026-08-25")*(Trades!$N$2:$N$15&gt;0)*1)</f>
        <v/>
      </c>
      <c r="F8">
        <f>D8-E8</f>
        <v/>
      </c>
    </row>
    <row r="9">
      <c r="A9" t="inlineStr">
        <is>
          <t>08/27</t>
        </is>
      </c>
      <c r="B9" s="11">
        <f>SUMPRODUCT((TEXT(Trades!$A$2:$A$15,"yyyy-mm-dd")="2026-08-27")*Trades!$N$2:$N$15)</f>
        <v/>
      </c>
      <c r="C9" s="11">
        <f>SUM($B$2:B9)</f>
        <v/>
      </c>
      <c r="D9">
        <f>SUMPRODUCT((TEXT(Trades!$A$2:$A$15,"yyyy-mm-dd")="2026-08-27")*(Trades!$P$2:$P$15="Closed")*1)</f>
        <v/>
      </c>
      <c r="E9">
        <f>SUMPRODUCT((TEXT(Trades!$A$2:$A$15,"yyyy-mm-dd")="2026-08-27")*(Trades!$N$2:$N$15&gt;0)*1)</f>
        <v/>
      </c>
      <c r="F9">
        <f>D9-E9</f>
        <v/>
      </c>
    </row>
    <row r="10">
      <c r="A10" t="inlineStr">
        <is>
          <t>08/28</t>
        </is>
      </c>
      <c r="B10" s="11">
        <f>SUMPRODUCT((TEXT(Trades!$A$2:$A$15,"yyyy-mm-dd")="2026-08-28")*Trades!$N$2:$N$15)</f>
        <v/>
      </c>
      <c r="C10" s="11">
        <f>SUM($B$2:B10)</f>
        <v/>
      </c>
      <c r="D10">
        <f>SUMPRODUCT((TEXT(Trades!$A$2:$A$15,"yyyy-mm-dd")="2026-08-28")*(Trades!$P$2:$P$15="Closed")*1)</f>
        <v/>
      </c>
      <c r="E10">
        <f>SUMPRODUCT((TEXT(Trades!$A$2:$A$15,"yyyy-mm-dd")="2026-08-28")*(Trades!$N$2:$N$15&gt;0)*1)</f>
        <v/>
      </c>
      <c r="F10">
        <f>D10-E10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SUMIFS(Trades!$N$2:$N$15,Trades!$B$2:$B$15,A3)</f>
        <v/>
      </c>
      <c r="C3">
        <f>COUNTIFS(Trades!$B$2:$B$15,A3,Trades!$P$2:$P$15,"Closed")</f>
        <v/>
      </c>
      <c r="D3" s="13">
        <f>IF(C3=0,0,COUNTIFS(Trades!$B$2:$B$15,A3,Trades!$N$2:$N$15,"&gt;0")/C3)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SUMIFS(Trades!$N$2:$N$15,Trades!$O$2:$O$15,A8)</f>
        <v/>
      </c>
      <c r="C8">
        <f>COUNTIF(Trades!$O$2:$O$15,A8)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SUMIFS(Trades!$N$2:$N$15,Trades!$O$2:$O$15,A9)</f>
        <v/>
      </c>
      <c r="C9">
        <f>COUNTIF(Trades!$O$2:$O$15,A9)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SUMIFS(Trades!$N$2:$N$15,Trades!$O$2:$O$15,A10)</f>
        <v/>
      </c>
      <c r="C10">
        <f>COUNTIF(Trades!$O$2:$O$15,A10)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SUMIFS(Trades!$N$2:$N$15,Trades!$O$2:$O$15,A11)</f>
        <v/>
      </c>
      <c r="C11">
        <f>COUNTIF(Trades!$O$2:$O$15,A11)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SUMIFS(Trades!$N$2:$N$15,Trades!$G$2:$G$15,9)</f>
        <v/>
      </c>
      <c r="C16">
        <f>COUNTIFS(Trades!$G$2:$G$15,9,Trades!$P$2:$P$15,"Closed")</f>
        <v/>
      </c>
    </row>
    <row r="17">
      <c r="A17" t="inlineStr">
        <is>
          <t>10:00</t>
        </is>
      </c>
      <c r="B17" s="11">
        <f>SUMIFS(Trades!$N$2:$N$15,Trades!$G$2:$G$15,10)</f>
        <v/>
      </c>
      <c r="C17">
        <f>COUNTIFS(Trades!$G$2:$G$15,10,Trades!$P$2:$P$15,"Closed")</f>
        <v/>
      </c>
    </row>
    <row r="18">
      <c r="A18" t="inlineStr">
        <is>
          <t>11:00</t>
        </is>
      </c>
      <c r="B18" s="11">
        <f>SUMIFS(Trades!$N$2:$N$15,Trades!$G$2:$G$15,11)</f>
        <v/>
      </c>
      <c r="C18">
        <f>COUNTIFS(Trades!$G$2:$G$15,11,Trades!$P$2:$P$15,"Closed")</f>
        <v/>
      </c>
    </row>
    <row r="19">
      <c r="A19" t="inlineStr">
        <is>
          <t>12:00</t>
        </is>
      </c>
      <c r="B19" s="11">
        <f>SUMIFS(Trades!$N$2:$N$15,Trades!$G$2:$G$15,12)</f>
        <v/>
      </c>
      <c r="C19">
        <f>COUNTIFS(Trades!$G$2:$G$15,12,Trades!$P$2:$P$15,"Closed")</f>
        <v/>
      </c>
    </row>
    <row r="20">
      <c r="A20" t="inlineStr">
        <is>
          <t>13:00</t>
        </is>
      </c>
      <c r="B20" s="11">
        <f>SUMIFS(Trades!$N$2:$N$15,Trades!$G$2:$G$15,13)</f>
        <v/>
      </c>
      <c r="C20">
        <f>COUNTIFS(Trades!$G$2:$G$15,13,Trades!$P$2:$P$15,"Closed")</f>
        <v/>
      </c>
    </row>
    <row r="21">
      <c r="A21" t="inlineStr">
        <is>
          <t>14:00</t>
        </is>
      </c>
      <c r="B21" s="11">
        <f>SUMIFS(Trades!$N$2:$N$15,Trades!$G$2:$G$15,14)</f>
        <v/>
      </c>
      <c r="C21">
        <f>COUNTIFS(Trades!$G$2:$G$15,14,Trades!$P$2:$P$15,"Closed")</f>
        <v/>
      </c>
    </row>
    <row r="22">
      <c r="A22" t="inlineStr">
        <is>
          <t>15:00</t>
        </is>
      </c>
      <c r="B22" s="11">
        <f>SUMIFS(Trades!$N$2:$N$15,Trades!$G$2:$G$15,15)</f>
        <v/>
      </c>
      <c r="C22">
        <f>COUNTIFS(Trades!$G$2:$G$15,15,Trades!$P$2:$P$15,"Closed")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SUMIFS(Trades!$N$2:$N$15,Trades!$Q$2:$Q$15,A27&amp;" *")</f>
        <v/>
      </c>
      <c r="C27">
        <f>COUNTIFS(Trades!$Q$2:$Q$15,A27&amp;" *",Trades!$P$2:$P$15,"Closed")</f>
        <v/>
      </c>
      <c r="D27" s="13">
        <f>IF(C27=0,0,COUNTIFS(Trades!$Q$2:$Q$15,A27&amp;" *",Trades!$N$2:$N$15,"&gt;0")/C27)</f>
        <v/>
      </c>
    </row>
    <row r="28">
      <c r="A28" t="inlineStr">
        <is>
          <t>MEDIUM</t>
        </is>
      </c>
      <c r="B28" s="11">
        <f>SUMIFS(Trades!$N$2:$N$15,Trades!$Q$2:$Q$15,A28&amp;" *")</f>
        <v/>
      </c>
      <c r="C28">
        <f>COUNTIFS(Trades!$Q$2:$Q$15,A28&amp;" *",Trades!$P$2:$P$15,"Closed")</f>
        <v/>
      </c>
      <c r="D28" s="13">
        <f>IF(C28=0,0,COUNTIFS(Trades!$Q$2:$Q$15,A28&amp;" *",Trades!$N$2:$N$15,"&gt;0")/C28)</f>
        <v/>
      </c>
    </row>
    <row r="29">
      <c r="A29" t="inlineStr">
        <is>
          <t>HIGH</t>
        </is>
      </c>
      <c r="B29" s="11">
        <f>SUMIFS(Trades!$N$2:$N$15,Trades!$Q$2:$Q$15,A29&amp;" *")</f>
        <v/>
      </c>
      <c r="C29">
        <f>COUNTIFS(Trades!$Q$2:$Q$15,A29&amp;" *",Trades!$P$2:$P$15,"Closed")</f>
        <v/>
      </c>
      <c r="D29" s="13">
        <f>IF(C29=0,0,COUNTIFS(Trades!$Q$2:$Q$15,A29&amp;" *",Trades!$N$2:$N$15,"&gt;0")/C29)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2026-08-28T20:00:05Z</dcterms:created>
  <dcterms:modified xsi:type="dcterms:W3CDTF">2026-08-28T20:00:05Z</dcterms:modified>
</cp:coreProperties>
</file>