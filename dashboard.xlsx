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Daily" sheetId="3" state="visible" r:id="rId3"/>
    <sheet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;(0.0%);-"/>
    <numFmt numFmtId="166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sz val="16"/>
    </font>
    <font>
      <name val="Arial"/>
      <i val="1"/>
      <color rgb="00808080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Net P&amp;L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'Daily'!B1</f>
            </strRef>
          </tx>
          <spPr>
            <a:ln>
              <a:prstDash val="solid"/>
            </a:ln>
          </spPr>
          <cat>
            <numRef>
              <f>'Daily'!$A$2:$A$16</f>
            </numRef>
          </cat>
          <val>
            <numRef>
              <f>'Daily'!$B$2:$B$16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Equity Curve (cumulative $)</a:t>
            </a:r>
          </a:p>
        </rich>
      </tx>
    </title>
    <plotArea>
      <lineChart>
        <grouping val="standard"/>
        <ser>
          <idx val="0"/>
          <order val="0"/>
          <tx>
            <strRef>
              <f>'Daily'!C1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'Daily'!$A$2:$A$16</f>
            </numRef>
          </cat>
          <val>
            <numRef>
              <f>'Daily'!$C$2:$C$16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P&amp;L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'Analysis'!B2</f>
            </strRef>
          </tx>
          <spPr>
            <a:ln>
              <a:prstDash val="solid"/>
            </a:ln>
          </spPr>
          <cat>
            <numRef>
              <f>'Analysis'!$A$3</f>
            </numRef>
          </cat>
          <val>
            <numRef>
              <f>'Analysis'!$B$3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P&amp;L by Exit Rule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'Analysis'!B7</f>
            </strRef>
          </tx>
          <spPr>
            <a:ln>
              <a:prstDash val="solid"/>
            </a:ln>
          </spPr>
          <cat>
            <numRef>
              <f>'Analysis'!$A$8:$A$11</f>
            </numRef>
          </cat>
          <val>
            <numRef>
              <f>'Analysis'!$B$8:$B$11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P&amp;L by Entry Hour (ET)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'Analysis'!B15</f>
            </strRef>
          </tx>
          <spPr>
            <a:ln>
              <a:prstDash val="solid"/>
            </a:ln>
          </spPr>
          <cat>
            <numRef>
              <f>'Analysis'!$A$16:$A$22</f>
            </numRef>
          </cat>
          <val>
            <numRef>
              <f>'Analysis'!$B$16:$B$22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P&amp;L by Conviction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'Analysis'!B26</f>
            </strRef>
          </tx>
          <spPr>
            <a:ln>
              <a:prstDash val="solid"/>
            </a:ln>
          </spPr>
          <cat>
            <numRef>
              <f>'Analysis'!$A$27:$A$29</f>
            </numRef>
          </cat>
          <val>
            <numRef>
              <f>'Analysis'!$B$27:$B$29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49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0DTE Bot — Performance Dashboard</t>
        </is>
      </c>
    </row>
    <row r="2">
      <c r="A2" s="2" t="inlineStr">
        <is>
          <t>Generated 2026-09-24 15:00 — refresh: python scripts/build_dashboard.py</t>
        </is>
      </c>
    </row>
    <row r="4">
      <c r="A4" s="3" t="inlineStr">
        <is>
          <t>Total P&amp;L $</t>
        </is>
      </c>
      <c r="B4" s="4">
        <f>SUM(Trades!$N$2:$N$24)</f>
        <v/>
      </c>
    </row>
    <row r="5">
      <c r="A5" s="3" t="inlineStr">
        <is>
          <t>Closed trades</t>
        </is>
      </c>
      <c r="B5" s="5">
        <f>COUNTIF(Trades!$P$2:$P$24,"Closed")</f>
        <v/>
      </c>
    </row>
    <row r="6">
      <c r="A6" s="3" t="inlineStr">
        <is>
          <t>Win rate</t>
        </is>
      </c>
      <c r="B6" s="6">
        <f>COUNTIF(Trades!$N$2:$N$24,"&gt;0")/B5</f>
        <v/>
      </c>
    </row>
    <row r="7">
      <c r="A7" s="3" t="inlineStr">
        <is>
          <t>Avg win $</t>
        </is>
      </c>
      <c r="B7" s="4">
        <f>AVERAGEIF(Trades!$N$2:$N$24,"&gt;0")</f>
        <v/>
      </c>
    </row>
    <row r="8">
      <c r="A8" s="3" t="inlineStr">
        <is>
          <t>Avg loss $</t>
        </is>
      </c>
      <c r="B8" s="4">
        <f>IF(COUNTIF(Trades!$N$2:$N$24,"&lt;0")=0,0,AVERAGEIF(Trades!$N$2:$N$24,"&lt;0"))</f>
        <v/>
      </c>
    </row>
    <row r="9">
      <c r="A9" s="3" t="inlineStr">
        <is>
          <t>Profit factor</t>
        </is>
      </c>
      <c r="B9" s="7">
        <f>IF(SUMIF(Trades!$N$2:$N$24,"&lt;0")=0,0,-SUMIF(Trades!$N$2:$N$24,"&gt;0")/SUMIF(Trades!$N$2:$N$24,"&lt;0"))</f>
        <v/>
      </c>
    </row>
    <row r="10">
      <c r="A10" s="3" t="inlineStr">
        <is>
          <t>Best day $</t>
        </is>
      </c>
      <c r="B10" s="4">
        <f>MAX(Daily!$B$2:$B$16)</f>
        <v/>
      </c>
    </row>
    <row r="11">
      <c r="A11" s="3" t="inlineStr">
        <is>
          <t>Worst day $</t>
        </is>
      </c>
      <c r="B11" s="4">
        <f>MIN(Daily!$B$2:$B$16)</f>
        <v/>
      </c>
    </row>
    <row r="12">
      <c r="A12" s="3" t="inlineStr">
        <is>
          <t>Commissions $</t>
        </is>
      </c>
      <c r="B12" s="4">
        <f>SUM(Trades!$R$2:$R$24)</f>
        <v/>
      </c>
    </row>
    <row r="13">
      <c r="A13" s="3" t="inlineStr">
        <is>
          <t>Net after fees $</t>
        </is>
      </c>
      <c r="B13" s="4">
        <f>B4-B12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2" customWidth="1" min="4" max="4"/>
    <col width="12" customWidth="1" min="5" max="5"/>
    <col width="9" customWidth="1" min="6" max="6"/>
    <col width="8" customWidth="1" min="7" max="7"/>
    <col width="8" customWidth="1" min="8" max="8"/>
    <col width="8" customWidth="1" min="9" max="9"/>
    <col width="7" customWidth="1" min="10" max="10"/>
    <col width="9" customWidth="1" min="11" max="11"/>
    <col width="8" customWidth="1" min="12" max="12"/>
    <col width="8" customWidth="1" min="13" max="13"/>
    <col width="11" customWidth="1" min="14" max="14"/>
    <col width="18" customWidth="1" min="15" max="15"/>
    <col width="16" customWidth="1" min="16" max="16"/>
    <col width="30" customWidth="1" min="17" max="17"/>
    <col width="11" customWidth="1" min="18" max="18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Direction</t>
        </is>
      </c>
      <c r="D1" s="8" t="inlineStr">
        <is>
          <t>Entry (ET)</t>
        </is>
      </c>
      <c r="E1" s="8" t="inlineStr">
        <is>
          <t>Exit (ET)</t>
        </is>
      </c>
      <c r="F1" s="8" t="inlineStr">
        <is>
          <t>Hold (min)</t>
        </is>
      </c>
      <c r="G1" s="8" t="inlineStr">
        <is>
          <t>Entry Hr</t>
        </is>
      </c>
      <c r="H1" s="8" t="inlineStr">
        <is>
          <t>Entry $</t>
        </is>
      </c>
      <c r="I1" s="8" t="inlineStr">
        <is>
          <t>Exit $</t>
        </is>
      </c>
      <c r="J1" s="8" t="inlineStr">
        <is>
          <t>ADX</t>
        </is>
      </c>
      <c r="K1" s="8" t="inlineStr">
        <is>
          <t>ADX Slope</t>
        </is>
      </c>
      <c r="L1" s="8" t="inlineStr">
        <is>
          <t>Peak %</t>
        </is>
      </c>
      <c r="M1" s="8" t="inlineStr">
        <is>
          <t>P&amp;L %</t>
        </is>
      </c>
      <c r="N1" s="8" t="inlineStr">
        <is>
          <t>P&amp;L $</t>
        </is>
      </c>
      <c r="O1" s="8" t="inlineStr">
        <is>
          <t>Exit Rule</t>
        </is>
      </c>
      <c r="P1" s="8" t="inlineStr">
        <is>
          <t>Status</t>
        </is>
      </c>
      <c r="Q1" s="8" t="inlineStr">
        <is>
          <t>Conviction</t>
        </is>
      </c>
      <c r="R1" s="8" t="inlineStr">
        <is>
          <t>Commission</t>
        </is>
      </c>
    </row>
    <row r="2">
      <c r="A2" s="9" t="n">
        <v>46251</v>
      </c>
      <c r="B2" s="10" t="inlineStr">
        <is>
          <t>SPX</t>
        </is>
      </c>
      <c r="C2" s="10" t="inlineStr">
        <is>
          <t>PUT</t>
        </is>
      </c>
      <c r="D2" s="10" t="inlineStr">
        <is>
          <t>08-17 10:00</t>
        </is>
      </c>
      <c r="E2" s="10" t="inlineStr">
        <is>
          <t>08-17 14:25</t>
        </is>
      </c>
      <c r="F2" s="10" t="n">
        <v>266</v>
      </c>
      <c r="G2" s="10" t="n">
        <v>10</v>
      </c>
      <c r="H2" s="10" t="n">
        <v>8.6</v>
      </c>
      <c r="I2" s="10" t="n">
        <v>17.4</v>
      </c>
      <c r="J2" s="10" t="n"/>
      <c r="K2" s="10" t="n"/>
      <c r="L2" s="6" t="n"/>
      <c r="M2" s="6" t="n">
        <v>1.0233</v>
      </c>
      <c r="N2" s="4" t="n">
        <v>880</v>
      </c>
      <c r="O2" s="10" t="inlineStr">
        <is>
          <t>Other</t>
        </is>
      </c>
      <c r="P2" s="10" t="inlineStr">
        <is>
          <t>Closed</t>
        </is>
      </c>
      <c r="Q2" s="10" t="inlineStr"/>
      <c r="R2" s="4" t="n">
        <v>1.63</v>
      </c>
    </row>
    <row r="3">
      <c r="A3" s="9" t="n">
        <v>46252</v>
      </c>
      <c r="B3" s="10" t="inlineStr">
        <is>
          <t>SPX</t>
        </is>
      </c>
      <c r="C3" s="10" t="inlineStr">
        <is>
          <t>PUT</t>
        </is>
      </c>
      <c r="D3" s="10" t="inlineStr">
        <is>
          <t>08-18 10:13</t>
        </is>
      </c>
      <c r="E3" s="10" t="inlineStr">
        <is>
          <t>08-18 13:10</t>
        </is>
      </c>
      <c r="F3" s="10" t="n">
        <v>177</v>
      </c>
      <c r="G3" s="10" t="n">
        <v>10</v>
      </c>
      <c r="H3" s="10" t="n">
        <v>10</v>
      </c>
      <c r="I3" s="10" t="n">
        <v>2</v>
      </c>
      <c r="J3" s="10" t="n"/>
      <c r="K3" s="10" t="n"/>
      <c r="L3" s="6" t="n">
        <v>0.04</v>
      </c>
      <c r="M3" s="6" t="n">
        <v>-0.8</v>
      </c>
      <c r="N3" s="4" t="n">
        <v>-800</v>
      </c>
      <c r="O3" s="10" t="inlineStr">
        <is>
          <t>Other</t>
        </is>
      </c>
      <c r="P3" s="10" t="inlineStr">
        <is>
          <t>Closed</t>
        </is>
      </c>
      <c r="Q3" s="10" t="inlineStr"/>
      <c r="R3" s="4" t="n">
        <v>3.26</v>
      </c>
    </row>
    <row r="4">
      <c r="A4" s="9" t="n">
        <v>46253</v>
      </c>
      <c r="B4" s="10" t="inlineStr">
        <is>
          <t>SPX</t>
        </is>
      </c>
      <c r="C4" s="10" t="inlineStr">
        <is>
          <t>PUT</t>
        </is>
      </c>
      <c r="D4" s="10" t="inlineStr">
        <is>
          <t>08-19 09:50</t>
        </is>
      </c>
      <c r="E4" s="10" t="inlineStr">
        <is>
          <t>08-19 10:54</t>
        </is>
      </c>
      <c r="F4" s="10" t="n">
        <v>64</v>
      </c>
      <c r="G4" s="10" t="n">
        <v>9</v>
      </c>
      <c r="H4" s="10" t="n">
        <v>13.8</v>
      </c>
      <c r="I4" s="10" t="n">
        <v>2.65</v>
      </c>
      <c r="J4" s="10" t="n"/>
      <c r="K4" s="10" t="n"/>
      <c r="L4" s="6" t="n">
        <v>0.2826</v>
      </c>
      <c r="M4" s="6" t="n">
        <v>-0.8079999999999999</v>
      </c>
      <c r="N4" s="4" t="n">
        <v>-1115</v>
      </c>
      <c r="O4" s="10" t="inlineStr">
        <is>
          <t>Other</t>
        </is>
      </c>
      <c r="P4" s="10" t="inlineStr">
        <is>
          <t>Closed</t>
        </is>
      </c>
      <c r="Q4" s="10" t="inlineStr"/>
      <c r="R4" s="4" t="n">
        <v>3.26</v>
      </c>
    </row>
    <row r="5">
      <c r="A5" s="9" t="n">
        <v>46254</v>
      </c>
      <c r="B5" s="10" t="inlineStr">
        <is>
          <t>SPX</t>
        </is>
      </c>
      <c r="C5" s="10" t="inlineStr">
        <is>
          <t>PUT</t>
        </is>
      </c>
      <c r="D5" s="10" t="inlineStr">
        <is>
          <t>08-20 10:17</t>
        </is>
      </c>
      <c r="E5" s="10" t="inlineStr">
        <is>
          <t>08-20 14:12</t>
        </is>
      </c>
      <c r="F5" s="10" t="n">
        <v>235</v>
      </c>
      <c r="G5" s="10" t="n">
        <v>10</v>
      </c>
      <c r="H5" s="10" t="n">
        <v>12.8</v>
      </c>
      <c r="I5" s="10" t="n">
        <v>20.9</v>
      </c>
      <c r="J5" s="10" t="n"/>
      <c r="K5" s="10" t="n"/>
      <c r="L5" s="6" t="n">
        <v>0.7929999999999999</v>
      </c>
      <c r="M5" s="6" t="n">
        <v>0.6328</v>
      </c>
      <c r="N5" s="4" t="n">
        <v>810</v>
      </c>
      <c r="O5" s="10" t="inlineStr">
        <is>
          <t>Other</t>
        </is>
      </c>
      <c r="P5" s="10" t="inlineStr">
        <is>
          <t>Closed</t>
        </is>
      </c>
      <c r="Q5" s="10" t="inlineStr"/>
      <c r="R5" s="4" t="n">
        <v>3.26</v>
      </c>
    </row>
    <row r="6">
      <c r="A6" s="9" t="n">
        <v>46255</v>
      </c>
      <c r="B6" s="10" t="inlineStr">
        <is>
          <t>SPX</t>
        </is>
      </c>
      <c r="C6" s="10" t="inlineStr">
        <is>
          <t>CALL</t>
        </is>
      </c>
      <c r="D6" s="10" t="inlineStr">
        <is>
          <t>08-21 11:02</t>
        </is>
      </c>
      <c r="E6" s="10" t="inlineStr">
        <is>
          <t>08-21 11:43</t>
        </is>
      </c>
      <c r="F6" s="10" t="n">
        <v>41</v>
      </c>
      <c r="G6" s="10" t="n">
        <v>11</v>
      </c>
      <c r="H6" s="10" t="n">
        <v>8.4</v>
      </c>
      <c r="I6" s="10" t="n">
        <v>14.3</v>
      </c>
      <c r="J6" s="10" t="n"/>
      <c r="K6" s="10" t="n"/>
      <c r="L6" s="6" t="n">
        <v>0.9048</v>
      </c>
      <c r="M6" s="6" t="n">
        <v>0.7023999999999999</v>
      </c>
      <c r="N6" s="4" t="n">
        <v>590</v>
      </c>
      <c r="O6" s="10" t="inlineStr">
        <is>
          <t>Other</t>
        </is>
      </c>
      <c r="P6" s="10" t="inlineStr">
        <is>
          <t>Closed</t>
        </is>
      </c>
      <c r="Q6" s="10" t="inlineStr"/>
      <c r="R6" s="4" t="n">
        <v>3.26</v>
      </c>
    </row>
    <row r="7">
      <c r="A7" s="9" t="n">
        <v>46258</v>
      </c>
      <c r="B7" s="10" t="inlineStr">
        <is>
          <t>SPX</t>
        </is>
      </c>
      <c r="C7" s="10" t="inlineStr">
        <is>
          <t>CALL</t>
        </is>
      </c>
      <c r="D7" s="10" t="inlineStr">
        <is>
          <t>08-24 11:48</t>
        </is>
      </c>
      <c r="E7" s="10" t="inlineStr"/>
      <c r="F7" s="10" t="n"/>
      <c r="G7" s="10" t="n">
        <v>11</v>
      </c>
      <c r="H7" s="10" t="n">
        <v>7.1</v>
      </c>
      <c r="I7" s="10" t="n"/>
      <c r="J7" s="10" t="n"/>
      <c r="K7" s="10" t="n"/>
      <c r="L7" s="6" t="n"/>
      <c r="M7" s="6" t="n"/>
      <c r="N7" s="4" t="n"/>
      <c r="O7" s="10" t="inlineStr"/>
      <c r="P7" s="10" t="inlineStr">
        <is>
          <t>Orphaned/manual</t>
        </is>
      </c>
      <c r="Q7" s="10" t="inlineStr"/>
      <c r="R7" s="4" t="n"/>
    </row>
    <row r="8">
      <c r="A8" s="9" t="n">
        <v>46258</v>
      </c>
      <c r="B8" s="10" t="inlineStr">
        <is>
          <t>SPX</t>
        </is>
      </c>
      <c r="C8" s="10" t="inlineStr">
        <is>
          <t>CALL</t>
        </is>
      </c>
      <c r="D8" s="10" t="inlineStr">
        <is>
          <t>08-24 11:48</t>
        </is>
      </c>
      <c r="E8" s="10" t="inlineStr">
        <is>
          <t>08-24 13:30</t>
        </is>
      </c>
      <c r="F8" s="10" t="n">
        <v>102</v>
      </c>
      <c r="G8" s="10" t="n">
        <v>11</v>
      </c>
      <c r="H8" s="10" t="n">
        <v>7.3</v>
      </c>
      <c r="I8" s="10" t="n">
        <v>1.25</v>
      </c>
      <c r="J8" s="10" t="n"/>
      <c r="K8" s="10" t="n"/>
      <c r="L8" s="6" t="n">
        <v>0.4296</v>
      </c>
      <c r="M8" s="6" t="n">
        <v>-0.8239</v>
      </c>
      <c r="N8" s="4" t="n">
        <v>-585</v>
      </c>
      <c r="O8" s="10" t="inlineStr">
        <is>
          <t>Other</t>
        </is>
      </c>
      <c r="P8" s="10" t="inlineStr">
        <is>
          <t>Closed</t>
        </is>
      </c>
      <c r="Q8" s="10" t="inlineStr"/>
      <c r="R8" s="4" t="n">
        <v>3.26</v>
      </c>
    </row>
    <row r="9">
      <c r="A9" s="9" t="n">
        <v>46258</v>
      </c>
      <c r="B9" s="10" t="inlineStr">
        <is>
          <t>SPX</t>
        </is>
      </c>
      <c r="C9" s="10" t="inlineStr">
        <is>
          <t>CALL</t>
        </is>
      </c>
      <c r="D9" s="10" t="inlineStr"/>
      <c r="E9" s="10" t="inlineStr">
        <is>
          <t>08-24 13:30</t>
        </is>
      </c>
      <c r="F9" s="10" t="n"/>
      <c r="G9" s="10" t="n"/>
      <c r="H9" s="10" t="n"/>
      <c r="I9" s="10" t="n">
        <v>1.25</v>
      </c>
      <c r="J9" s="10" t="n"/>
      <c r="K9" s="10" t="n"/>
      <c r="L9" s="6" t="n">
        <v>0.3767</v>
      </c>
      <c r="M9" s="6" t="n">
        <v>-0.8288</v>
      </c>
      <c r="N9" s="4" t="n">
        <v>-605</v>
      </c>
      <c r="O9" s="10" t="inlineStr">
        <is>
          <t>Other</t>
        </is>
      </c>
      <c r="P9" s="10" t="inlineStr">
        <is>
          <t>Closed</t>
        </is>
      </c>
      <c r="Q9" s="10" t="inlineStr"/>
      <c r="R9" s="4" t="n">
        <v>3.26</v>
      </c>
    </row>
    <row r="10">
      <c r="A10" s="9" t="n">
        <v>46259</v>
      </c>
      <c r="B10" s="10" t="inlineStr">
        <is>
          <t>SPX</t>
        </is>
      </c>
      <c r="C10" s="10" t="inlineStr">
        <is>
          <t>PUT</t>
        </is>
      </c>
      <c r="D10" s="10" t="inlineStr">
        <is>
          <t>08-25 10:31</t>
        </is>
      </c>
      <c r="E10" s="10" t="inlineStr">
        <is>
          <t>08-25 11:52</t>
        </is>
      </c>
      <c r="F10" s="10" t="n">
        <v>81</v>
      </c>
      <c r="G10" s="10" t="n">
        <v>10</v>
      </c>
      <c r="H10" s="10" t="n">
        <v>8.6</v>
      </c>
      <c r="I10" s="10" t="n">
        <v>2.75</v>
      </c>
      <c r="J10" s="10" t="n"/>
      <c r="K10" s="10" t="n"/>
      <c r="L10" s="6" t="n">
        <v>0</v>
      </c>
      <c r="M10" s="6" t="n">
        <v>-0.6801999999999999</v>
      </c>
      <c r="N10" s="4" t="n">
        <v>-585</v>
      </c>
      <c r="O10" s="10" t="inlineStr">
        <is>
          <t>Other</t>
        </is>
      </c>
      <c r="P10" s="10" t="inlineStr">
        <is>
          <t>Closed</t>
        </is>
      </c>
      <c r="Q10" s="10" t="inlineStr"/>
      <c r="R10" s="4" t="n">
        <v>3.26</v>
      </c>
    </row>
    <row r="11">
      <c r="A11" s="9" t="n">
        <v>46261</v>
      </c>
      <c r="B11" s="10" t="inlineStr">
        <is>
          <t>SPX</t>
        </is>
      </c>
      <c r="C11" s="10" t="inlineStr">
        <is>
          <t>CALL</t>
        </is>
      </c>
      <c r="D11" s="10" t="inlineStr">
        <is>
          <t>08-27 09:33</t>
        </is>
      </c>
      <c r="E11" s="10" t="inlineStr">
        <is>
          <t>08-27 09:42</t>
        </is>
      </c>
      <c r="F11" s="10" t="n">
        <v>9</v>
      </c>
      <c r="G11" s="10" t="n">
        <v>9</v>
      </c>
      <c r="H11" s="10" t="n">
        <v>14.4</v>
      </c>
      <c r="I11" s="10" t="n">
        <v>18.4</v>
      </c>
      <c r="J11" s="10" t="n"/>
      <c r="K11" s="10" t="n"/>
      <c r="L11" s="6" t="n">
        <v>0.3611</v>
      </c>
      <c r="M11" s="6" t="n">
        <v>0.2778</v>
      </c>
      <c r="N11" s="4" t="n">
        <v>400</v>
      </c>
      <c r="O11" s="10" t="inlineStr">
        <is>
          <t>Other</t>
        </is>
      </c>
      <c r="P11" s="10" t="inlineStr">
        <is>
          <t>Closed</t>
        </is>
      </c>
      <c r="Q11" s="10" t="inlineStr"/>
      <c r="R11" s="4" t="n">
        <v>3.26</v>
      </c>
    </row>
    <row r="12">
      <c r="A12" s="9" t="n">
        <v>46261</v>
      </c>
      <c r="B12" s="10" t="inlineStr">
        <is>
          <t>SPX</t>
        </is>
      </c>
      <c r="C12" s="10" t="inlineStr">
        <is>
          <t>CALL</t>
        </is>
      </c>
      <c r="D12" s="10" t="inlineStr">
        <is>
          <t>08-27 09:55</t>
        </is>
      </c>
      <c r="E12" s="10" t="inlineStr">
        <is>
          <t>08-27 11:03</t>
        </is>
      </c>
      <c r="F12" s="10" t="n">
        <v>69</v>
      </c>
      <c r="G12" s="10" t="n">
        <v>9</v>
      </c>
      <c r="H12" s="10" t="n">
        <v>13</v>
      </c>
      <c r="I12" s="10" t="n">
        <v>17.4</v>
      </c>
      <c r="J12" s="10" t="n"/>
      <c r="K12" s="10" t="n"/>
      <c r="L12" s="6" t="n">
        <v>0.4385</v>
      </c>
      <c r="M12" s="6" t="n">
        <v>0.3385</v>
      </c>
      <c r="N12" s="4" t="n">
        <v>440</v>
      </c>
      <c r="O12" s="10" t="inlineStr">
        <is>
          <t>Other</t>
        </is>
      </c>
      <c r="P12" s="10" t="inlineStr">
        <is>
          <t>Closed</t>
        </is>
      </c>
      <c r="Q12" s="10" t="inlineStr"/>
      <c r="R12" s="4" t="n">
        <v>3.26</v>
      </c>
    </row>
    <row r="13">
      <c r="A13" s="9" t="n">
        <v>46262</v>
      </c>
      <c r="B13" s="10" t="inlineStr">
        <is>
          <t>SPX</t>
        </is>
      </c>
      <c r="C13" s="10" t="inlineStr">
        <is>
          <t>CALL</t>
        </is>
      </c>
      <c r="D13" s="10" t="inlineStr">
        <is>
          <t>08-28 09:35</t>
        </is>
      </c>
      <c r="E13" s="10" t="inlineStr">
        <is>
          <t>08-28 11:05</t>
        </is>
      </c>
      <c r="F13" s="10" t="n">
        <v>90</v>
      </c>
      <c r="G13" s="10" t="n">
        <v>9</v>
      </c>
      <c r="H13" s="10" t="n">
        <v>17.4</v>
      </c>
      <c r="I13" s="10" t="n">
        <v>33.4</v>
      </c>
      <c r="J13" s="10" t="n"/>
      <c r="K13" s="10" t="n"/>
      <c r="L13" s="6" t="n">
        <v>1.1753</v>
      </c>
      <c r="M13" s="6" t="n">
        <v>0.9195</v>
      </c>
      <c r="N13" s="4" t="n">
        <v>1600</v>
      </c>
      <c r="O13" s="10" t="inlineStr">
        <is>
          <t>Other</t>
        </is>
      </c>
      <c r="P13" s="10" t="inlineStr">
        <is>
          <t>Closed</t>
        </is>
      </c>
      <c r="Q13" s="10" t="inlineStr"/>
      <c r="R13" s="4" t="n">
        <v>3.26</v>
      </c>
    </row>
    <row r="14">
      <c r="A14" s="9" t="n">
        <v>46262</v>
      </c>
      <c r="B14" s="10" t="inlineStr">
        <is>
          <t>SPX</t>
        </is>
      </c>
      <c r="C14" s="10" t="inlineStr">
        <is>
          <t>PUT</t>
        </is>
      </c>
      <c r="D14" s="10" t="inlineStr">
        <is>
          <t>08-28 13:02</t>
        </is>
      </c>
      <c r="E14" s="10" t="inlineStr">
        <is>
          <t>08-28 15:21</t>
        </is>
      </c>
      <c r="F14" s="10" t="n">
        <v>139</v>
      </c>
      <c r="G14" s="10" t="n">
        <v>13</v>
      </c>
      <c r="H14" s="10" t="n">
        <v>10.5</v>
      </c>
      <c r="I14" s="10" t="n">
        <v>1.75</v>
      </c>
      <c r="J14" s="10" t="n"/>
      <c r="K14" s="10" t="n"/>
      <c r="L14" s="6" t="n">
        <v>0.1524</v>
      </c>
      <c r="M14" s="6" t="n">
        <v>-0.8332999999999999</v>
      </c>
      <c r="N14" s="4" t="n">
        <v>-875</v>
      </c>
      <c r="O14" s="10" t="inlineStr">
        <is>
          <t>Other</t>
        </is>
      </c>
      <c r="P14" s="10" t="inlineStr">
        <is>
          <t>Closed</t>
        </is>
      </c>
      <c r="Q14" s="10" t="inlineStr"/>
      <c r="R14" s="4" t="n">
        <v>3.26</v>
      </c>
    </row>
    <row r="15">
      <c r="A15" s="9" t="n">
        <v>46262</v>
      </c>
      <c r="B15" s="10" t="inlineStr">
        <is>
          <t>SPX</t>
        </is>
      </c>
      <c r="C15" s="10" t="inlineStr">
        <is>
          <t>PUT</t>
        </is>
      </c>
      <c r="D15" s="10" t="inlineStr">
        <is>
          <t>08-28 15:32</t>
        </is>
      </c>
      <c r="E15" s="10" t="inlineStr">
        <is>
          <t>08-28 15:56</t>
        </is>
      </c>
      <c r="F15" s="10" t="n">
        <v>23</v>
      </c>
      <c r="G15" s="10" t="n">
        <v>15</v>
      </c>
      <c r="H15" s="10" t="n">
        <v>3.4</v>
      </c>
      <c r="I15" s="10" t="n">
        <v>1.05</v>
      </c>
      <c r="J15" s="10" t="n"/>
      <c r="K15" s="10" t="n"/>
      <c r="L15" s="6" t="n">
        <v>0.1618</v>
      </c>
      <c r="M15" s="6" t="n">
        <v>-0.6912</v>
      </c>
      <c r="N15" s="4" t="n">
        <v>-235</v>
      </c>
      <c r="O15" s="10" t="inlineStr">
        <is>
          <t>Other</t>
        </is>
      </c>
      <c r="P15" s="10" t="inlineStr">
        <is>
          <t>Closed</t>
        </is>
      </c>
      <c r="Q15" s="10" t="inlineStr"/>
      <c r="R15" s="4" t="n">
        <v>3.26</v>
      </c>
    </row>
    <row r="16">
      <c r="A16" s="9" t="n">
        <v>46266</v>
      </c>
      <c r="B16" s="10" t="inlineStr">
        <is>
          <t>SPX</t>
        </is>
      </c>
      <c r="C16" s="10" t="inlineStr">
        <is>
          <t>PUT</t>
        </is>
      </c>
      <c r="D16" s="10" t="inlineStr">
        <is>
          <t>09-01 09:39</t>
        </is>
      </c>
      <c r="E16" s="10" t="inlineStr"/>
      <c r="F16" s="10" t="n"/>
      <c r="G16" s="10" t="n">
        <v>9</v>
      </c>
      <c r="H16" s="10" t="n">
        <v>13.2</v>
      </c>
      <c r="I16" s="10" t="n"/>
      <c r="J16" s="10" t="n"/>
      <c r="K16" s="10" t="n"/>
      <c r="L16" s="6" t="n"/>
      <c r="M16" s="6" t="n"/>
      <c r="N16" s="4" t="n"/>
      <c r="O16" s="10" t="inlineStr"/>
      <c r="P16" s="10" t="inlineStr">
        <is>
          <t>Orphaned/manual</t>
        </is>
      </c>
      <c r="Q16" s="10" t="inlineStr"/>
      <c r="R16" s="4" t="n"/>
    </row>
    <row r="17">
      <c r="A17" s="9" t="n">
        <v>46266</v>
      </c>
      <c r="B17" s="10" t="inlineStr">
        <is>
          <t>SPX</t>
        </is>
      </c>
      <c r="C17" s="10" t="inlineStr">
        <is>
          <t>PUT</t>
        </is>
      </c>
      <c r="D17" s="10" t="inlineStr">
        <is>
          <t>09-01 10:09</t>
        </is>
      </c>
      <c r="E17" s="10" t="inlineStr">
        <is>
          <t>09-01 10:31</t>
        </is>
      </c>
      <c r="F17" s="10" t="n">
        <v>23</v>
      </c>
      <c r="G17" s="10" t="n">
        <v>10</v>
      </c>
      <c r="H17" s="10" t="n">
        <v>10.1</v>
      </c>
      <c r="I17" s="10" t="n">
        <v>2.6</v>
      </c>
      <c r="J17" s="10" t="n"/>
      <c r="K17" s="10" t="n"/>
      <c r="L17" s="6" t="n">
        <v>0.0795</v>
      </c>
      <c r="M17" s="6" t="n">
        <v>-0.8029999999999999</v>
      </c>
      <c r="N17" s="4" t="n">
        <v>-1060</v>
      </c>
      <c r="O17" s="10" t="inlineStr">
        <is>
          <t>Other</t>
        </is>
      </c>
      <c r="P17" s="10" t="inlineStr">
        <is>
          <t>Closed</t>
        </is>
      </c>
      <c r="Q17" s="10" t="inlineStr"/>
      <c r="R17" s="4" t="n">
        <v>3.26</v>
      </c>
    </row>
    <row r="18">
      <c r="A18" s="9" t="n">
        <v>46266</v>
      </c>
      <c r="B18" s="10" t="inlineStr">
        <is>
          <t>SPX</t>
        </is>
      </c>
      <c r="C18" s="10" t="inlineStr">
        <is>
          <t>CALL</t>
        </is>
      </c>
      <c r="D18" s="10" t="inlineStr"/>
      <c r="E18" s="10" t="inlineStr">
        <is>
          <t>09-01 10:36</t>
        </is>
      </c>
      <c r="F18" s="10" t="n"/>
      <c r="G18" s="10" t="n"/>
      <c r="H18" s="10" t="n"/>
      <c r="I18" s="10" t="n">
        <v>18.7</v>
      </c>
      <c r="J18" s="10" t="n"/>
      <c r="K18" s="10" t="n"/>
      <c r="L18" s="6" t="n">
        <v>1.0792</v>
      </c>
      <c r="M18" s="6" t="n">
        <v>0.8515</v>
      </c>
      <c r="N18" s="4" t="n">
        <v>860</v>
      </c>
      <c r="O18" s="10" t="inlineStr">
        <is>
          <t>Other</t>
        </is>
      </c>
      <c r="P18" s="10" t="inlineStr">
        <is>
          <t>Closed</t>
        </is>
      </c>
      <c r="Q18" s="10" t="inlineStr"/>
      <c r="R18" s="4" t="n">
        <v>3.26</v>
      </c>
    </row>
    <row r="19">
      <c r="A19" s="9" t="n">
        <v>46267</v>
      </c>
      <c r="B19" s="10" t="inlineStr">
        <is>
          <t>SPX</t>
        </is>
      </c>
      <c r="C19" s="10" t="inlineStr">
        <is>
          <t>CALL</t>
        </is>
      </c>
      <c r="D19" s="10" t="inlineStr">
        <is>
          <t>09-02 10:00</t>
        </is>
      </c>
      <c r="E19" s="10" t="inlineStr">
        <is>
          <t>09-02 10:10</t>
        </is>
      </c>
      <c r="F19" s="10" t="n">
        <v>10</v>
      </c>
      <c r="G19" s="10" t="n">
        <v>10</v>
      </c>
      <c r="H19" s="10" t="n">
        <v>10.7</v>
      </c>
      <c r="I19" s="10" t="n">
        <v>16.6</v>
      </c>
      <c r="J19" s="10" t="n"/>
      <c r="K19" s="10" t="n"/>
      <c r="L19" s="6" t="n">
        <v>0.7103</v>
      </c>
      <c r="M19" s="6" t="n">
        <v>0.5514</v>
      </c>
      <c r="N19" s="4" t="n">
        <v>590</v>
      </c>
      <c r="O19" s="10" t="inlineStr">
        <is>
          <t>Other</t>
        </is>
      </c>
      <c r="P19" s="10" t="inlineStr">
        <is>
          <t>Closed</t>
        </is>
      </c>
      <c r="Q19" s="10" t="inlineStr"/>
      <c r="R19" s="4" t="n">
        <v>3.26</v>
      </c>
    </row>
    <row r="20">
      <c r="A20" s="9" t="n">
        <v>46275</v>
      </c>
      <c r="B20" s="10" t="inlineStr">
        <is>
          <t>SPX</t>
        </is>
      </c>
      <c r="C20" s="10" t="inlineStr">
        <is>
          <t>PUT</t>
        </is>
      </c>
      <c r="D20" s="10" t="inlineStr">
        <is>
          <t>09-10 09:53</t>
        </is>
      </c>
      <c r="E20" s="10" t="inlineStr">
        <is>
          <t>09-10 10:26</t>
        </is>
      </c>
      <c r="F20" s="10" t="n">
        <v>33</v>
      </c>
      <c r="G20" s="10" t="n">
        <v>9</v>
      </c>
      <c r="H20" s="10" t="n">
        <v>14</v>
      </c>
      <c r="I20" s="10" t="n">
        <v>5.2</v>
      </c>
      <c r="J20" s="10" t="n"/>
      <c r="K20" s="10" t="n"/>
      <c r="L20" s="6" t="n">
        <v>0.1286</v>
      </c>
      <c r="M20" s="6" t="n">
        <v>-0.6286</v>
      </c>
      <c r="N20" s="4" t="n">
        <v>-880</v>
      </c>
      <c r="O20" s="10" t="inlineStr">
        <is>
          <t>Other</t>
        </is>
      </c>
      <c r="P20" s="10" t="inlineStr">
        <is>
          <t>Closed</t>
        </is>
      </c>
      <c r="Q20" s="10" t="inlineStr"/>
      <c r="R20" s="4" t="n">
        <v>3.26</v>
      </c>
    </row>
    <row r="21">
      <c r="A21" s="9" t="n">
        <v>46281</v>
      </c>
      <c r="B21" s="10" t="inlineStr">
        <is>
          <t>SPX</t>
        </is>
      </c>
      <c r="C21" s="10" t="inlineStr">
        <is>
          <t>CALL</t>
        </is>
      </c>
      <c r="D21" s="10" t="inlineStr">
        <is>
          <t>09-16 09:51</t>
        </is>
      </c>
      <c r="E21" s="10" t="inlineStr">
        <is>
          <t>09-16 12:06</t>
        </is>
      </c>
      <c r="F21" s="10" t="n">
        <v>135</v>
      </c>
      <c r="G21" s="10" t="n">
        <v>9</v>
      </c>
      <c r="H21" s="10" t="n">
        <v>23.1</v>
      </c>
      <c r="I21" s="10" t="n">
        <v>26.6</v>
      </c>
      <c r="J21" s="10" t="n"/>
      <c r="K21" s="10" t="n"/>
      <c r="L21" s="6" t="n">
        <v>0.3788</v>
      </c>
      <c r="M21" s="6" t="n">
        <v>0.1515</v>
      </c>
      <c r="N21" s="4" t="n">
        <v>350</v>
      </c>
      <c r="O21" s="10" t="inlineStr">
        <is>
          <t>Other</t>
        </is>
      </c>
      <c r="P21" s="10" t="inlineStr">
        <is>
          <t>Closed</t>
        </is>
      </c>
      <c r="Q21" s="10" t="inlineStr"/>
      <c r="R21" s="4" t="n">
        <v>3.26</v>
      </c>
    </row>
    <row r="22">
      <c r="A22" s="9" t="n">
        <v>46283</v>
      </c>
      <c r="B22" s="10" t="inlineStr">
        <is>
          <t>SPX</t>
        </is>
      </c>
      <c r="C22" s="10" t="inlineStr">
        <is>
          <t>PUT</t>
        </is>
      </c>
      <c r="D22" s="10" t="inlineStr">
        <is>
          <t>09-18 09:50</t>
        </is>
      </c>
      <c r="E22" s="10" t="inlineStr">
        <is>
          <t>09-18 10:06</t>
        </is>
      </c>
      <c r="F22" s="10" t="n">
        <v>16</v>
      </c>
      <c r="G22" s="10" t="n">
        <v>9</v>
      </c>
      <c r="H22" s="10" t="n">
        <v>10.5</v>
      </c>
      <c r="I22" s="10" t="n">
        <v>19.1</v>
      </c>
      <c r="J22" s="10" t="n"/>
      <c r="K22" s="10" t="n"/>
      <c r="L22" s="6" t="n">
        <v>1.0429</v>
      </c>
      <c r="M22" s="6" t="n">
        <v>0.8190000000000001</v>
      </c>
      <c r="N22" s="4" t="n">
        <v>860</v>
      </c>
      <c r="O22" s="10" t="inlineStr">
        <is>
          <t>Other</t>
        </is>
      </c>
      <c r="P22" s="10" t="inlineStr">
        <is>
          <t>Closed</t>
        </is>
      </c>
      <c r="Q22" s="10" t="inlineStr"/>
      <c r="R22" s="4" t="n">
        <v>3.26</v>
      </c>
    </row>
    <row r="23">
      <c r="A23" s="9" t="n">
        <v>46289</v>
      </c>
      <c r="B23" s="10" t="inlineStr">
        <is>
          <t>SPX</t>
        </is>
      </c>
      <c r="C23" s="10" t="inlineStr">
        <is>
          <t>CALL</t>
        </is>
      </c>
      <c r="D23" s="10" t="inlineStr">
        <is>
          <t>09-24 09:54</t>
        </is>
      </c>
      <c r="E23" s="10" t="inlineStr">
        <is>
          <t>09-24 10:10</t>
        </is>
      </c>
      <c r="F23" s="10" t="n">
        <v>16</v>
      </c>
      <c r="G23" s="10" t="n">
        <v>9</v>
      </c>
      <c r="H23" s="10" t="n">
        <v>13.2</v>
      </c>
      <c r="I23" s="10" t="n">
        <v>17.8</v>
      </c>
      <c r="J23" s="10" t="n"/>
      <c r="K23" s="10" t="n"/>
      <c r="L23" s="6" t="n">
        <v>0.5455</v>
      </c>
      <c r="M23" s="6" t="n">
        <v>0.3485</v>
      </c>
      <c r="N23" s="4" t="n">
        <v>460</v>
      </c>
      <c r="O23" s="10" t="inlineStr">
        <is>
          <t>Other</t>
        </is>
      </c>
      <c r="P23" s="10" t="inlineStr">
        <is>
          <t>Closed</t>
        </is>
      </c>
      <c r="Q23" s="10" t="inlineStr"/>
      <c r="R23" s="4" t="n">
        <v>3.26</v>
      </c>
    </row>
    <row r="24">
      <c r="A24" s="9" t="n">
        <v>46289</v>
      </c>
      <c r="B24" s="10" t="inlineStr">
        <is>
          <t>SPX</t>
        </is>
      </c>
      <c r="C24" s="10" t="inlineStr">
        <is>
          <t>CALL</t>
        </is>
      </c>
      <c r="D24" s="10" t="inlineStr">
        <is>
          <t>09-24 14:00</t>
        </is>
      </c>
      <c r="E24" s="10" t="inlineStr">
        <is>
          <t>09-24 14:03</t>
        </is>
      </c>
      <c r="F24" s="10" t="n">
        <v>2</v>
      </c>
      <c r="G24" s="10" t="n">
        <v>14</v>
      </c>
      <c r="H24" s="10" t="n">
        <v>8</v>
      </c>
      <c r="I24" s="10" t="n">
        <v>4.3</v>
      </c>
      <c r="J24" s="10" t="n"/>
      <c r="K24" s="10" t="n"/>
      <c r="L24" s="6" t="n">
        <v>0</v>
      </c>
      <c r="M24" s="6" t="n">
        <v>-0.4625</v>
      </c>
      <c r="N24" s="4" t="n">
        <v>-370</v>
      </c>
      <c r="O24" s="10" t="inlineStr">
        <is>
          <t>Other</t>
        </is>
      </c>
      <c r="P24" s="10" t="inlineStr">
        <is>
          <t>Closed</t>
        </is>
      </c>
      <c r="Q24" s="10" t="inlineStr"/>
      <c r="R24" s="4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8" customWidth="1" min="4" max="4"/>
    <col width="7" customWidth="1" min="5" max="5"/>
    <col width="8" customWidth="1" min="6" max="6"/>
  </cols>
  <sheetData>
    <row r="1">
      <c r="A1" s="8" t="inlineStr">
        <is>
          <t>Date</t>
        </is>
      </c>
      <c r="B1" s="8" t="inlineStr">
        <is>
          <t>Net P&amp;L $</t>
        </is>
      </c>
      <c r="C1" s="8" t="inlineStr">
        <is>
          <t>Cumulative $</t>
        </is>
      </c>
      <c r="D1" s="8" t="inlineStr">
        <is>
          <t>Trades</t>
        </is>
      </c>
      <c r="E1" s="8" t="inlineStr">
        <is>
          <t>Wins</t>
        </is>
      </c>
      <c r="F1" s="8" t="inlineStr">
        <is>
          <t>Losses</t>
        </is>
      </c>
    </row>
    <row r="2">
      <c r="A2" t="inlineStr">
        <is>
          <t>08/17</t>
        </is>
      </c>
      <c r="B2" s="11">
        <f>SUMPRODUCT((TEXT(Trades!$A$2:$A$24,"yyyy-mm-dd")="2026-08-17")*Trades!$N$2:$N$24)</f>
        <v/>
      </c>
      <c r="C2" s="11">
        <f>SUM($B$2:B2)</f>
        <v/>
      </c>
      <c r="D2">
        <f>SUMPRODUCT((TEXT(Trades!$A$2:$A$24,"yyyy-mm-dd")="2026-08-17")*(Trades!$P$2:$P$24="Closed")*1)</f>
        <v/>
      </c>
      <c r="E2">
        <f>SUMPRODUCT((TEXT(Trades!$A$2:$A$24,"yyyy-mm-dd")="2026-08-17")*(Trades!$N$2:$N$24&gt;0)*1)</f>
        <v/>
      </c>
      <c r="F2">
        <f>D2-E2</f>
        <v/>
      </c>
    </row>
    <row r="3">
      <c r="A3" t="inlineStr">
        <is>
          <t>08/18</t>
        </is>
      </c>
      <c r="B3" s="11">
        <f>SUMPRODUCT((TEXT(Trades!$A$2:$A$24,"yyyy-mm-dd")="2026-08-18")*Trades!$N$2:$N$24)</f>
        <v/>
      </c>
      <c r="C3" s="11">
        <f>SUM($B$2:B3)</f>
        <v/>
      </c>
      <c r="D3">
        <f>SUMPRODUCT((TEXT(Trades!$A$2:$A$24,"yyyy-mm-dd")="2026-08-18")*(Trades!$P$2:$P$24="Closed")*1)</f>
        <v/>
      </c>
      <c r="E3">
        <f>SUMPRODUCT((TEXT(Trades!$A$2:$A$24,"yyyy-mm-dd")="2026-08-18")*(Trades!$N$2:$N$24&gt;0)*1)</f>
        <v/>
      </c>
      <c r="F3">
        <f>D3-E3</f>
        <v/>
      </c>
    </row>
    <row r="4">
      <c r="A4" t="inlineStr">
        <is>
          <t>08/19</t>
        </is>
      </c>
      <c r="B4" s="11">
        <f>SUMPRODUCT((TEXT(Trades!$A$2:$A$24,"yyyy-mm-dd")="2026-08-19")*Trades!$N$2:$N$24)</f>
        <v/>
      </c>
      <c r="C4" s="11">
        <f>SUM($B$2:B4)</f>
        <v/>
      </c>
      <c r="D4">
        <f>SUMPRODUCT((TEXT(Trades!$A$2:$A$24,"yyyy-mm-dd")="2026-08-19")*(Trades!$P$2:$P$24="Closed")*1)</f>
        <v/>
      </c>
      <c r="E4">
        <f>SUMPRODUCT((TEXT(Trades!$A$2:$A$24,"yyyy-mm-dd")="2026-08-19")*(Trades!$N$2:$N$24&gt;0)*1)</f>
        <v/>
      </c>
      <c r="F4">
        <f>D4-E4</f>
        <v/>
      </c>
    </row>
    <row r="5">
      <c r="A5" t="inlineStr">
        <is>
          <t>08/20</t>
        </is>
      </c>
      <c r="B5" s="11">
        <f>SUMPRODUCT((TEXT(Trades!$A$2:$A$24,"yyyy-mm-dd")="2026-08-20")*Trades!$N$2:$N$24)</f>
        <v/>
      </c>
      <c r="C5" s="11">
        <f>SUM($B$2:B5)</f>
        <v/>
      </c>
      <c r="D5">
        <f>SUMPRODUCT((TEXT(Trades!$A$2:$A$24,"yyyy-mm-dd")="2026-08-20")*(Trades!$P$2:$P$24="Closed")*1)</f>
        <v/>
      </c>
      <c r="E5">
        <f>SUMPRODUCT((TEXT(Trades!$A$2:$A$24,"yyyy-mm-dd")="2026-08-20")*(Trades!$N$2:$N$24&gt;0)*1)</f>
        <v/>
      </c>
      <c r="F5">
        <f>D5-E5</f>
        <v/>
      </c>
    </row>
    <row r="6">
      <c r="A6" t="inlineStr">
        <is>
          <t>08/21</t>
        </is>
      </c>
      <c r="B6" s="11">
        <f>SUMPRODUCT((TEXT(Trades!$A$2:$A$24,"yyyy-mm-dd")="2026-08-21")*Trades!$N$2:$N$24)</f>
        <v/>
      </c>
      <c r="C6" s="11">
        <f>SUM($B$2:B6)</f>
        <v/>
      </c>
      <c r="D6">
        <f>SUMPRODUCT((TEXT(Trades!$A$2:$A$24,"yyyy-mm-dd")="2026-08-21")*(Trades!$P$2:$P$24="Closed")*1)</f>
        <v/>
      </c>
      <c r="E6">
        <f>SUMPRODUCT((TEXT(Trades!$A$2:$A$24,"yyyy-mm-dd")="2026-08-21")*(Trades!$N$2:$N$24&gt;0)*1)</f>
        <v/>
      </c>
      <c r="F6">
        <f>D6-E6</f>
        <v/>
      </c>
    </row>
    <row r="7">
      <c r="A7" t="inlineStr">
        <is>
          <t>08/24</t>
        </is>
      </c>
      <c r="B7" s="11">
        <f>SUMPRODUCT((TEXT(Trades!$A$2:$A$24,"yyyy-mm-dd")="2026-08-24")*Trades!$N$2:$N$24)</f>
        <v/>
      </c>
      <c r="C7" s="11">
        <f>SUM($B$2:B7)</f>
        <v/>
      </c>
      <c r="D7">
        <f>SUMPRODUCT((TEXT(Trades!$A$2:$A$24,"yyyy-mm-dd")="2026-08-24")*(Trades!$P$2:$P$24="Closed")*1)</f>
        <v/>
      </c>
      <c r="E7">
        <f>SUMPRODUCT((TEXT(Trades!$A$2:$A$24,"yyyy-mm-dd")="2026-08-24")*(Trades!$N$2:$N$24&gt;0)*1)</f>
        <v/>
      </c>
      <c r="F7">
        <f>D7-E7</f>
        <v/>
      </c>
    </row>
    <row r="8">
      <c r="A8" t="inlineStr">
        <is>
          <t>08/25</t>
        </is>
      </c>
      <c r="B8" s="11">
        <f>SUMPRODUCT((TEXT(Trades!$A$2:$A$24,"yyyy-mm-dd")="2026-08-25")*Trades!$N$2:$N$24)</f>
        <v/>
      </c>
      <c r="C8" s="11">
        <f>SUM($B$2:B8)</f>
        <v/>
      </c>
      <c r="D8">
        <f>SUMPRODUCT((TEXT(Trades!$A$2:$A$24,"yyyy-mm-dd")="2026-08-25")*(Trades!$P$2:$P$24="Closed")*1)</f>
        <v/>
      </c>
      <c r="E8">
        <f>SUMPRODUCT((TEXT(Trades!$A$2:$A$24,"yyyy-mm-dd")="2026-08-25")*(Trades!$N$2:$N$24&gt;0)*1)</f>
        <v/>
      </c>
      <c r="F8">
        <f>D8-E8</f>
        <v/>
      </c>
    </row>
    <row r="9">
      <c r="A9" t="inlineStr">
        <is>
          <t>08/27</t>
        </is>
      </c>
      <c r="B9" s="11">
        <f>SUMPRODUCT((TEXT(Trades!$A$2:$A$24,"yyyy-mm-dd")="2026-08-27")*Trades!$N$2:$N$24)</f>
        <v/>
      </c>
      <c r="C9" s="11">
        <f>SUM($B$2:B9)</f>
        <v/>
      </c>
      <c r="D9">
        <f>SUMPRODUCT((TEXT(Trades!$A$2:$A$24,"yyyy-mm-dd")="2026-08-27")*(Trades!$P$2:$P$24="Closed")*1)</f>
        <v/>
      </c>
      <c r="E9">
        <f>SUMPRODUCT((TEXT(Trades!$A$2:$A$24,"yyyy-mm-dd")="2026-08-27")*(Trades!$N$2:$N$24&gt;0)*1)</f>
        <v/>
      </c>
      <c r="F9">
        <f>D9-E9</f>
        <v/>
      </c>
    </row>
    <row r="10">
      <c r="A10" t="inlineStr">
        <is>
          <t>08/28</t>
        </is>
      </c>
      <c r="B10" s="11">
        <f>SUMPRODUCT((TEXT(Trades!$A$2:$A$24,"yyyy-mm-dd")="2026-08-28")*Trades!$N$2:$N$24)</f>
        <v/>
      </c>
      <c r="C10" s="11">
        <f>SUM($B$2:B10)</f>
        <v/>
      </c>
      <c r="D10">
        <f>SUMPRODUCT((TEXT(Trades!$A$2:$A$24,"yyyy-mm-dd")="2026-08-28")*(Trades!$P$2:$P$24="Closed")*1)</f>
        <v/>
      </c>
      <c r="E10">
        <f>SUMPRODUCT((TEXT(Trades!$A$2:$A$24,"yyyy-mm-dd")="2026-08-28")*(Trades!$N$2:$N$24&gt;0)*1)</f>
        <v/>
      </c>
      <c r="F10">
        <f>D10-E10</f>
        <v/>
      </c>
    </row>
    <row r="11">
      <c r="A11" t="inlineStr">
        <is>
          <t>09/01</t>
        </is>
      </c>
      <c r="B11" s="11">
        <f>SUMPRODUCT((TEXT(Trades!$A$2:$A$24,"yyyy-mm-dd")="2026-09-01")*Trades!$N$2:$N$24)</f>
        <v/>
      </c>
      <c r="C11" s="11">
        <f>SUM($B$2:B11)</f>
        <v/>
      </c>
      <c r="D11">
        <f>SUMPRODUCT((TEXT(Trades!$A$2:$A$24,"yyyy-mm-dd")="2026-09-01")*(Trades!$P$2:$P$24="Closed")*1)</f>
        <v/>
      </c>
      <c r="E11">
        <f>SUMPRODUCT((TEXT(Trades!$A$2:$A$24,"yyyy-mm-dd")="2026-09-01")*(Trades!$N$2:$N$24&gt;0)*1)</f>
        <v/>
      </c>
      <c r="F11">
        <f>D11-E11</f>
        <v/>
      </c>
    </row>
    <row r="12">
      <c r="A12" t="inlineStr">
        <is>
          <t>09/02</t>
        </is>
      </c>
      <c r="B12" s="11">
        <f>SUMPRODUCT((TEXT(Trades!$A$2:$A$24,"yyyy-mm-dd")="2026-09-02")*Trades!$N$2:$N$24)</f>
        <v/>
      </c>
      <c r="C12" s="11">
        <f>SUM($B$2:B12)</f>
        <v/>
      </c>
      <c r="D12">
        <f>SUMPRODUCT((TEXT(Trades!$A$2:$A$24,"yyyy-mm-dd")="2026-09-02")*(Trades!$P$2:$P$24="Closed")*1)</f>
        <v/>
      </c>
      <c r="E12">
        <f>SUMPRODUCT((TEXT(Trades!$A$2:$A$24,"yyyy-mm-dd")="2026-09-02")*(Trades!$N$2:$N$24&gt;0)*1)</f>
        <v/>
      </c>
      <c r="F12">
        <f>D12-E12</f>
        <v/>
      </c>
    </row>
    <row r="13">
      <c r="A13" t="inlineStr">
        <is>
          <t>09/10</t>
        </is>
      </c>
      <c r="B13" s="11">
        <f>SUMPRODUCT((TEXT(Trades!$A$2:$A$24,"yyyy-mm-dd")="2026-09-10")*Trades!$N$2:$N$24)</f>
        <v/>
      </c>
      <c r="C13" s="11">
        <f>SUM($B$2:B13)</f>
        <v/>
      </c>
      <c r="D13">
        <f>SUMPRODUCT((TEXT(Trades!$A$2:$A$24,"yyyy-mm-dd")="2026-09-10")*(Trades!$P$2:$P$24="Closed")*1)</f>
        <v/>
      </c>
      <c r="E13">
        <f>SUMPRODUCT((TEXT(Trades!$A$2:$A$24,"yyyy-mm-dd")="2026-09-10")*(Trades!$N$2:$N$24&gt;0)*1)</f>
        <v/>
      </c>
      <c r="F13">
        <f>D13-E13</f>
        <v/>
      </c>
    </row>
    <row r="14">
      <c r="A14" t="inlineStr">
        <is>
          <t>09/16</t>
        </is>
      </c>
      <c r="B14" s="11">
        <f>SUMPRODUCT((TEXT(Trades!$A$2:$A$24,"yyyy-mm-dd")="2026-09-16")*Trades!$N$2:$N$24)</f>
        <v/>
      </c>
      <c r="C14" s="11">
        <f>SUM($B$2:B14)</f>
        <v/>
      </c>
      <c r="D14">
        <f>SUMPRODUCT((TEXT(Trades!$A$2:$A$24,"yyyy-mm-dd")="2026-09-16")*(Trades!$P$2:$P$24="Closed")*1)</f>
        <v/>
      </c>
      <c r="E14">
        <f>SUMPRODUCT((TEXT(Trades!$A$2:$A$24,"yyyy-mm-dd")="2026-09-16")*(Trades!$N$2:$N$24&gt;0)*1)</f>
        <v/>
      </c>
      <c r="F14">
        <f>D14-E14</f>
        <v/>
      </c>
    </row>
    <row r="15">
      <c r="A15" t="inlineStr">
        <is>
          <t>09/18</t>
        </is>
      </c>
      <c r="B15" s="11">
        <f>SUMPRODUCT((TEXT(Trades!$A$2:$A$24,"yyyy-mm-dd")="2026-09-18")*Trades!$N$2:$N$24)</f>
        <v/>
      </c>
      <c r="C15" s="11">
        <f>SUM($B$2:B15)</f>
        <v/>
      </c>
      <c r="D15">
        <f>SUMPRODUCT((TEXT(Trades!$A$2:$A$24,"yyyy-mm-dd")="2026-09-18")*(Trades!$P$2:$P$24="Closed")*1)</f>
        <v/>
      </c>
      <c r="E15">
        <f>SUMPRODUCT((TEXT(Trades!$A$2:$A$24,"yyyy-mm-dd")="2026-09-18")*(Trades!$N$2:$N$24&gt;0)*1)</f>
        <v/>
      </c>
      <c r="F15">
        <f>D15-E15</f>
        <v/>
      </c>
    </row>
    <row r="16">
      <c r="A16" t="inlineStr">
        <is>
          <t>09/24</t>
        </is>
      </c>
      <c r="B16" s="11">
        <f>SUMPRODUCT((TEXT(Trades!$A$2:$A$24,"yyyy-mm-dd")="2026-09-24")*Trades!$N$2:$N$24)</f>
        <v/>
      </c>
      <c r="C16" s="11">
        <f>SUM($B$2:B16)</f>
        <v/>
      </c>
      <c r="D16">
        <f>SUMPRODUCT((TEXT(Trades!$A$2:$A$24,"yyyy-mm-dd")="2026-09-24")*(Trades!$P$2:$P$24="Closed")*1)</f>
        <v/>
      </c>
      <c r="E16">
        <f>SUMPRODUCT((TEXT(Trades!$A$2:$A$24,"yyyy-mm-dd")="2026-09-24")*(Trades!$N$2:$N$24&gt;0)*1)</f>
        <v/>
      </c>
      <c r="F16">
        <f>D16-E16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0" customWidth="1" min="4" max="4"/>
  </cols>
  <sheetData>
    <row r="1">
      <c r="A1" s="12" t="inlineStr">
        <is>
          <t>By Symbol</t>
        </is>
      </c>
    </row>
    <row r="2">
      <c r="A2" s="8" t="inlineStr">
        <is>
          <t>Symbol</t>
        </is>
      </c>
      <c r="B2" s="8" t="inlineStr">
        <is>
          <t>P&amp;L $</t>
        </is>
      </c>
      <c r="C2" s="8" t="inlineStr">
        <is>
          <t>Trades</t>
        </is>
      </c>
      <c r="D2" s="8" t="inlineStr">
        <is>
          <t>Win rate</t>
        </is>
      </c>
    </row>
    <row r="3">
      <c r="A3" t="inlineStr">
        <is>
          <t>SPX</t>
        </is>
      </c>
      <c r="B3" s="11">
        <f>SUMIFS(Trades!$N$2:$N$24,Trades!$B$2:$B$24,A3)</f>
        <v/>
      </c>
      <c r="C3">
        <f>COUNTIFS(Trades!$B$2:$B$24,A3,Trades!$P$2:$P$24,"Closed")</f>
        <v/>
      </c>
      <c r="D3" s="13">
        <f>IF(C3=0,0,COUNTIFS(Trades!$B$2:$B$24,A3,Trades!$N$2:$N$24,"&gt;0")/C3)</f>
        <v/>
      </c>
    </row>
    <row r="6">
      <c r="A6" s="12" t="inlineStr">
        <is>
          <t>By Exit Rule</t>
        </is>
      </c>
    </row>
    <row r="7">
      <c r="A7" s="8" t="inlineStr">
        <is>
          <t>Exit Rule</t>
        </is>
      </c>
      <c r="B7" s="8" t="inlineStr">
        <is>
          <t>P&amp;L $</t>
        </is>
      </c>
      <c r="C7" s="8" t="inlineStr">
        <is>
          <t>Count</t>
        </is>
      </c>
      <c r="D7" s="8" t="inlineStr">
        <is>
          <t>Avg P&amp;L $</t>
        </is>
      </c>
    </row>
    <row r="8">
      <c r="A8" t="inlineStr">
        <is>
          <t>Invalidation</t>
        </is>
      </c>
      <c r="B8" s="11">
        <f>SUMIFS(Trades!$N$2:$N$24,Trades!$O$2:$O$24,A8)</f>
        <v/>
      </c>
      <c r="C8">
        <f>COUNTIF(Trades!$O$2:$O$24,A8)</f>
        <v/>
      </c>
      <c r="D8" s="11">
        <f>IF(C8=0,0,B8/C8)</f>
        <v/>
      </c>
    </row>
    <row r="9">
      <c r="A9" t="inlineStr">
        <is>
          <t>Hard Stop</t>
        </is>
      </c>
      <c r="B9" s="11">
        <f>SUMIFS(Trades!$N$2:$N$24,Trades!$O$2:$O$24,A9)</f>
        <v/>
      </c>
      <c r="C9">
        <f>COUNTIF(Trades!$O$2:$O$24,A9)</f>
        <v/>
      </c>
      <c r="D9" s="11">
        <f>IF(C9=0,0,B9/C9)</f>
        <v/>
      </c>
    </row>
    <row r="10">
      <c r="A10" t="inlineStr">
        <is>
          <t>Trail (new)</t>
        </is>
      </c>
      <c r="B10" s="11">
        <f>SUMIFS(Trades!$N$2:$N$24,Trades!$O$2:$O$24,A10)</f>
        <v/>
      </c>
      <c r="C10">
        <f>COUNTIF(Trades!$O$2:$O$24,A10)</f>
        <v/>
      </c>
      <c r="D10" s="11">
        <f>IF(C10=0,0,B10/C10)</f>
        <v/>
      </c>
    </row>
    <row r="11">
      <c r="A11" t="inlineStr">
        <is>
          <t>Old rule (removed)</t>
        </is>
      </c>
      <c r="B11" s="11">
        <f>SUMIFS(Trades!$N$2:$N$24,Trades!$O$2:$O$24,A11)</f>
        <v/>
      </c>
      <c r="C11">
        <f>COUNTIF(Trades!$O$2:$O$24,A11)</f>
        <v/>
      </c>
      <c r="D11" s="11">
        <f>IF(C11=0,0,B11/C11)</f>
        <v/>
      </c>
    </row>
    <row r="14">
      <c r="A14" s="12" t="inlineStr">
        <is>
          <t>By Entry Hour (ET)</t>
        </is>
      </c>
    </row>
    <row r="15">
      <c r="A15" s="8" t="inlineStr">
        <is>
          <t>Hour</t>
        </is>
      </c>
      <c r="B15" s="8" t="inlineStr">
        <is>
          <t>P&amp;L $</t>
        </is>
      </c>
      <c r="C15" s="8" t="inlineStr">
        <is>
          <t>Trades</t>
        </is>
      </c>
    </row>
    <row r="16">
      <c r="A16" t="inlineStr">
        <is>
          <t>9:00</t>
        </is>
      </c>
      <c r="B16" s="11">
        <f>SUMIFS(Trades!$N$2:$N$24,Trades!$G$2:$G$24,9)</f>
        <v/>
      </c>
      <c r="C16">
        <f>COUNTIFS(Trades!$G$2:$G$24,9,Trades!$P$2:$P$24,"Closed")</f>
        <v/>
      </c>
    </row>
    <row r="17">
      <c r="A17" t="inlineStr">
        <is>
          <t>10:00</t>
        </is>
      </c>
      <c r="B17" s="11">
        <f>SUMIFS(Trades!$N$2:$N$24,Trades!$G$2:$G$24,10)</f>
        <v/>
      </c>
      <c r="C17">
        <f>COUNTIFS(Trades!$G$2:$G$24,10,Trades!$P$2:$P$24,"Closed")</f>
        <v/>
      </c>
    </row>
    <row r="18">
      <c r="A18" t="inlineStr">
        <is>
          <t>11:00</t>
        </is>
      </c>
      <c r="B18" s="11">
        <f>SUMIFS(Trades!$N$2:$N$24,Trades!$G$2:$G$24,11)</f>
        <v/>
      </c>
      <c r="C18">
        <f>COUNTIFS(Trades!$G$2:$G$24,11,Trades!$P$2:$P$24,"Closed")</f>
        <v/>
      </c>
    </row>
    <row r="19">
      <c r="A19" t="inlineStr">
        <is>
          <t>12:00</t>
        </is>
      </c>
      <c r="B19" s="11">
        <f>SUMIFS(Trades!$N$2:$N$24,Trades!$G$2:$G$24,12)</f>
        <v/>
      </c>
      <c r="C19">
        <f>COUNTIFS(Trades!$G$2:$G$24,12,Trades!$P$2:$P$24,"Closed")</f>
        <v/>
      </c>
    </row>
    <row r="20">
      <c r="A20" t="inlineStr">
        <is>
          <t>13:00</t>
        </is>
      </c>
      <c r="B20" s="11">
        <f>SUMIFS(Trades!$N$2:$N$24,Trades!$G$2:$G$24,13)</f>
        <v/>
      </c>
      <c r="C20">
        <f>COUNTIFS(Trades!$G$2:$G$24,13,Trades!$P$2:$P$24,"Closed")</f>
        <v/>
      </c>
    </row>
    <row r="21">
      <c r="A21" t="inlineStr">
        <is>
          <t>14:00</t>
        </is>
      </c>
      <c r="B21" s="11">
        <f>SUMIFS(Trades!$N$2:$N$24,Trades!$G$2:$G$24,14)</f>
        <v/>
      </c>
      <c r="C21">
        <f>COUNTIFS(Trades!$G$2:$G$24,14,Trades!$P$2:$P$24,"Closed")</f>
        <v/>
      </c>
    </row>
    <row r="22">
      <c r="A22" t="inlineStr">
        <is>
          <t>15:00</t>
        </is>
      </c>
      <c r="B22" s="11">
        <f>SUMIFS(Trades!$N$2:$N$24,Trades!$G$2:$G$24,15)</f>
        <v/>
      </c>
      <c r="C22">
        <f>COUNTIFS(Trades!$G$2:$G$24,15,Trades!$P$2:$P$24,"Closed")</f>
        <v/>
      </c>
    </row>
    <row r="25">
      <c r="A25" s="12" t="inlineStr">
        <is>
          <t>By Conviction Tier</t>
        </is>
      </c>
    </row>
    <row r="26">
      <c r="A26" s="8" t="inlineStr">
        <is>
          <t>Tier</t>
        </is>
      </c>
      <c r="B26" s="8" t="inlineStr">
        <is>
          <t>P&amp;L $</t>
        </is>
      </c>
      <c r="C26" s="8" t="inlineStr">
        <is>
          <t>Trades</t>
        </is>
      </c>
      <c r="D26" s="8" t="inlineStr">
        <is>
          <t>Win rate</t>
        </is>
      </c>
    </row>
    <row r="27">
      <c r="A27" t="inlineStr">
        <is>
          <t>LOW</t>
        </is>
      </c>
      <c r="B27" s="11">
        <f>SUMIFS(Trades!$N$2:$N$24,Trades!$Q$2:$Q$24,A27&amp;" *")</f>
        <v/>
      </c>
      <c r="C27">
        <f>COUNTIFS(Trades!$Q$2:$Q$24,A27&amp;" *",Trades!$P$2:$P$24,"Closed")</f>
        <v/>
      </c>
      <c r="D27" s="13">
        <f>IF(C27=0,0,COUNTIFS(Trades!$Q$2:$Q$24,A27&amp;" *",Trades!$N$2:$N$24,"&gt;0")/C27)</f>
        <v/>
      </c>
    </row>
    <row r="28">
      <c r="A28" t="inlineStr">
        <is>
          <t>MEDIUM</t>
        </is>
      </c>
      <c r="B28" s="11">
        <f>SUMIFS(Trades!$N$2:$N$24,Trades!$Q$2:$Q$24,A28&amp;" *")</f>
        <v/>
      </c>
      <c r="C28">
        <f>COUNTIFS(Trades!$Q$2:$Q$24,A28&amp;" *",Trades!$P$2:$P$24,"Closed")</f>
        <v/>
      </c>
      <c r="D28" s="13">
        <f>IF(C28=0,0,COUNTIFS(Trades!$Q$2:$Q$24,A28&amp;" *",Trades!$N$2:$N$24,"&gt;0")/C28)</f>
        <v/>
      </c>
    </row>
    <row r="29">
      <c r="A29" t="inlineStr">
        <is>
          <t>HIGH</t>
        </is>
      </c>
      <c r="B29" s="11">
        <f>SUMIFS(Trades!$N$2:$N$24,Trades!$Q$2:$Q$24,A29&amp;" *")</f>
        <v/>
      </c>
      <c r="C29">
        <f>COUNTIFS(Trades!$Q$2:$Q$24,A29&amp;" *",Trades!$P$2:$P$24,"Closed")</f>
        <v/>
      </c>
      <c r="D29" s="13">
        <f>IF(C29=0,0,COUNTIFS(Trades!$Q$2:$Q$24,A29&amp;" *",Trades!$N$2:$N$24,"&gt;0")/C29)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2026-09-24T20:00:40Z</dcterms:created>
  <dcterms:modified xsi:type="dcterms:W3CDTF">2026-09-24T20:00:40Z</dcterms:modified>
</cp:coreProperties>
</file>