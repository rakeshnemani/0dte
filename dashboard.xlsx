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'Daily'!$A$2:$A$13</f>
            </numRef>
          </cat>
          <val>
            <numRef>
              <f>'Daily'!$B$2:$B$13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'Daily'!$A$2:$A$13</f>
            </numRef>
          </cat>
          <val>
            <numRef>
              <f>'Daily'!$C$2:$C$13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'Analysis'!$A$3:$A$6</f>
            </numRef>
          </cat>
          <val>
            <numRef>
              <f>'Analysis'!$B$3:$B$6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'Analysis'!B10</f>
            </strRef>
          </tx>
          <spPr>
            <a:ln>
              <a:prstDash val="solid"/>
            </a:ln>
          </spPr>
          <cat>
            <numRef>
              <f>'Analysis'!$A$11:$A$14</f>
            </numRef>
          </cat>
          <val>
            <numRef>
              <f>'Analysis'!$B$11:$B$14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'Analysis'!B18</f>
            </strRef>
          </tx>
          <spPr>
            <a:ln>
              <a:prstDash val="solid"/>
            </a:ln>
          </spPr>
          <cat>
            <numRef>
              <f>'Analysis'!$A$19:$A$25</f>
            </numRef>
          </cat>
          <val>
            <numRef>
              <f>'Analysis'!$B$19:$B$25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'Analysis'!B29</f>
            </strRef>
          </tx>
          <spPr>
            <a:ln>
              <a:prstDash val="solid"/>
            </a:ln>
          </spPr>
          <cat>
            <numRef>
              <f>'Analysis'!$A$30:$A$32</f>
            </numRef>
          </cat>
          <val>
            <numRef>
              <f>'Analysis'!$B$30:$B$32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2026-07-14 15:00 — refresh: python scripts/build_dashboard.py</t>
        </is>
      </c>
    </row>
    <row r="4">
      <c r="A4" s="3" t="inlineStr">
        <is>
          <t>Total P&amp;L $</t>
        </is>
      </c>
      <c r="B4" s="4">
        <f>SUM(Trades!$N$2:$N$50)</f>
        <v/>
      </c>
    </row>
    <row r="5">
      <c r="A5" s="3" t="inlineStr">
        <is>
          <t>Closed trades</t>
        </is>
      </c>
      <c r="B5" s="5">
        <f>COUNTIF(Trades!$P$2:$P$50,"Closed")</f>
        <v/>
      </c>
    </row>
    <row r="6">
      <c r="A6" s="3" t="inlineStr">
        <is>
          <t>Win rate</t>
        </is>
      </c>
      <c r="B6" s="6">
        <f>COUNTIF(Trades!$N$2:$N$50,"&gt;0")/B5</f>
        <v/>
      </c>
    </row>
    <row r="7">
      <c r="A7" s="3" t="inlineStr">
        <is>
          <t>Avg win $</t>
        </is>
      </c>
      <c r="B7" s="4">
        <f>AVERAGEIF(Trades!$N$2:$N$50,"&gt;0")</f>
        <v/>
      </c>
    </row>
    <row r="8">
      <c r="A8" s="3" t="inlineStr">
        <is>
          <t>Avg loss $</t>
        </is>
      </c>
      <c r="B8" s="4">
        <f>IF(COUNTIF(Trades!$N$2:$N$50,"&lt;0")=0,0,AVERAGEIF(Trades!$N$2:$N$50,"&lt;0"))</f>
        <v/>
      </c>
    </row>
    <row r="9">
      <c r="A9" s="3" t="inlineStr">
        <is>
          <t>Profit factor</t>
        </is>
      </c>
      <c r="B9" s="7">
        <f>IF(SUMIF(Trades!$N$2:$N$50,"&lt;0")=0,0,-SUMIF(Trades!$N$2:$N$50,"&gt;0")/SUMIF(Trades!$N$2:$N$50,"&lt;0"))</f>
        <v/>
      </c>
    </row>
    <row r="10">
      <c r="A10" s="3" t="inlineStr">
        <is>
          <t>Best day $</t>
        </is>
      </c>
      <c r="B10" s="4">
        <f>MAX(Daily!$B$2:$B$13)</f>
        <v/>
      </c>
    </row>
    <row r="11">
      <c r="A11" s="3" t="inlineStr">
        <is>
          <t>Worst day $</t>
        </is>
      </c>
      <c r="B11" s="4">
        <f>MIN(Daily!$B$2:$B$13)</f>
        <v/>
      </c>
    </row>
    <row r="12">
      <c r="A12" s="3" t="inlineStr">
        <is>
          <t>Commissions $</t>
        </is>
      </c>
      <c r="B12" s="4">
        <f>SUM(Trades!$R$2:$R$50)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  <row r="48">
      <c r="A48" s="9" t="n">
        <v>46216</v>
      </c>
      <c r="B48" s="10" t="inlineStr">
        <is>
          <t>IWM</t>
        </is>
      </c>
      <c r="C48" s="10" t="inlineStr">
        <is>
          <t>PUT</t>
        </is>
      </c>
      <c r="D48" s="10" t="inlineStr">
        <is>
          <t>07-13 10:19</t>
        </is>
      </c>
      <c r="E48" s="10" t="inlineStr">
        <is>
          <t>07-13 10:25</t>
        </is>
      </c>
      <c r="F48" s="10" t="n">
        <v>6</v>
      </c>
      <c r="G48" s="10" t="n">
        <v>10</v>
      </c>
      <c r="H48" s="10" t="n">
        <v>0.39</v>
      </c>
      <c r="I48" s="10" t="n">
        <v>0.26</v>
      </c>
      <c r="J48" s="10" t="n">
        <v>29.76</v>
      </c>
      <c r="K48" s="10" t="n">
        <v>6.85</v>
      </c>
      <c r="L48" s="6" t="n">
        <v>0</v>
      </c>
      <c r="M48" s="6" t="n">
        <v>-0.3333</v>
      </c>
      <c r="N48" s="4" t="n">
        <v>-91</v>
      </c>
      <c r="O48" s="10" t="inlineStr">
        <is>
          <t>Invalidation</t>
        </is>
      </c>
      <c r="P48" s="10" t="inlineStr">
        <is>
          <t>Closed</t>
        </is>
      </c>
      <c r="Q48" s="10" t="inlineStr">
        <is>
          <t>MEDIUM 3/5 | ADX✗ slope✓ agree✓(SPY+QQQ) early✓ tape✗(6x)</t>
        </is>
      </c>
      <c r="R48" s="4" t="n">
        <v>15.97</v>
      </c>
    </row>
    <row r="49">
      <c r="A49" s="9" t="n">
        <v>46216</v>
      </c>
      <c r="B49" s="10" t="inlineStr">
        <is>
          <t>SPY</t>
        </is>
      </c>
      <c r="C49" s="10" t="inlineStr">
        <is>
          <t>PUT</t>
        </is>
      </c>
      <c r="D49" s="10" t="inlineStr">
        <is>
          <t>07-13 12:02</t>
        </is>
      </c>
      <c r="E49" s="10" t="inlineStr">
        <is>
          <t>07-13 12:13</t>
        </is>
      </c>
      <c r="F49" s="10" t="n">
        <v>11</v>
      </c>
      <c r="G49" s="10" t="n">
        <v>12</v>
      </c>
      <c r="H49" s="10" t="n">
        <v>0.36</v>
      </c>
      <c r="I49" s="10" t="n">
        <v>0.28</v>
      </c>
      <c r="J49" s="10" t="n">
        <v>34.1</v>
      </c>
      <c r="K49" s="10" t="n">
        <v>7.75</v>
      </c>
      <c r="L49" s="6" t="n">
        <v>0</v>
      </c>
      <c r="M49" s="6" t="n">
        <v>-0.2222</v>
      </c>
      <c r="N49" s="4" t="n">
        <v>-64</v>
      </c>
      <c r="O49" s="10" t="inlineStr">
        <is>
          <t>Invalidation</t>
        </is>
      </c>
      <c r="P49" s="10" t="inlineStr">
        <is>
          <t>Closed</t>
        </is>
      </c>
      <c r="Q49" s="10" t="inlineStr">
        <is>
          <t>MEDIUM 2/5 | ADX✓ slope✓ agree✓(QQQ+IWM) early✗ tape✗(26x) inv−1</t>
        </is>
      </c>
      <c r="R49" s="4" t="n">
        <v>20.39</v>
      </c>
    </row>
    <row r="50">
      <c r="A50" s="9" t="n">
        <v>46217</v>
      </c>
      <c r="B50" s="10" t="inlineStr">
        <is>
          <t>XSP</t>
        </is>
      </c>
      <c r="C50" s="10" t="inlineStr">
        <is>
          <t>CALL</t>
        </is>
      </c>
      <c r="D50" s="10" t="inlineStr">
        <is>
          <t>07-14 11:07</t>
        </is>
      </c>
      <c r="E50" s="10" t="inlineStr">
        <is>
          <t>07-14 11:21</t>
        </is>
      </c>
      <c r="F50" s="10" t="n">
        <v>14</v>
      </c>
      <c r="G50" s="10" t="n">
        <v>11</v>
      </c>
      <c r="H50" s="10" t="n">
        <v>0.49</v>
      </c>
      <c r="I50" s="10" t="n">
        <v>0.42</v>
      </c>
      <c r="J50" s="10" t="n">
        <v>33.87</v>
      </c>
      <c r="K50" s="10" t="n">
        <v>6.06</v>
      </c>
      <c r="L50" s="6" t="n">
        <v>0.1633</v>
      </c>
      <c r="M50" s="6" t="n">
        <v>-0.1429</v>
      </c>
      <c r="N50" s="4" t="n">
        <v>-42</v>
      </c>
      <c r="O50" s="10" t="inlineStr">
        <is>
          <t>Invalidation</t>
        </is>
      </c>
      <c r="P50" s="10" t="inlineStr">
        <is>
          <t>Closed</t>
        </is>
      </c>
      <c r="Q50" s="10" t="inlineStr">
        <is>
          <t>MEDIUM 2/5 | ADX✓ slope✓ agree✗ early✗ tape✗(17x)</t>
        </is>
      </c>
      <c r="R50" s="4" t="n">
        <v>20.89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SUMPRODUCT((TEXT(Trades!$A$2:$A$50,"yyyy-mm-dd")="2026-05-05")*Trades!$N$2:$N$50)</f>
        <v/>
      </c>
      <c r="C2" s="11">
        <f>SUM($B$2:B2)</f>
        <v/>
      </c>
      <c r="D2">
        <f>SUMPRODUCT((TEXT(Trades!$A$2:$A$50,"yyyy-mm-dd")="2026-05-05")*(Trades!$P$2:$P$50="Closed")*1)</f>
        <v/>
      </c>
      <c r="E2">
        <f>SUMPRODUCT((TEXT(Trades!$A$2:$A$50,"yyyy-mm-dd")="2026-05-05")*(Trades!$N$2:$N$50&gt;0)*1)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SUMPRODUCT((TEXT(Trades!$A$2:$A$50,"yyyy-mm-dd")="2026-05-15")*Trades!$N$2:$N$50)</f>
        <v/>
      </c>
      <c r="C3" s="11">
        <f>SUM($B$2:B3)</f>
        <v/>
      </c>
      <c r="D3">
        <f>SUMPRODUCT((TEXT(Trades!$A$2:$A$50,"yyyy-mm-dd")="2026-05-15")*(Trades!$P$2:$P$50="Closed")*1)</f>
        <v/>
      </c>
      <c r="E3">
        <f>SUMPRODUCT((TEXT(Trades!$A$2:$A$50,"yyyy-mm-dd")="2026-05-15")*(Trades!$N$2:$N$50&gt;0)*1)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SUMPRODUCT((TEXT(Trades!$A$2:$A$50,"yyyy-mm-dd")="2026-06-29")*Trades!$N$2:$N$50)</f>
        <v/>
      </c>
      <c r="C4" s="11">
        <f>SUM($B$2:B4)</f>
        <v/>
      </c>
      <c r="D4">
        <f>SUMPRODUCT((TEXT(Trades!$A$2:$A$50,"yyyy-mm-dd")="2026-06-29")*(Trades!$P$2:$P$50="Closed")*1)</f>
        <v/>
      </c>
      <c r="E4">
        <f>SUMPRODUCT((TEXT(Trades!$A$2:$A$50,"yyyy-mm-dd")="2026-06-29")*(Trades!$N$2:$N$50&gt;0)*1)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SUMPRODUCT((TEXT(Trades!$A$2:$A$50,"yyyy-mm-dd")="2026-06-30")*Trades!$N$2:$N$50)</f>
        <v/>
      </c>
      <c r="C5" s="11">
        <f>SUM($B$2:B5)</f>
        <v/>
      </c>
      <c r="D5">
        <f>SUMPRODUCT((TEXT(Trades!$A$2:$A$50,"yyyy-mm-dd")="2026-06-30")*(Trades!$P$2:$P$50="Closed")*1)</f>
        <v/>
      </c>
      <c r="E5">
        <f>SUMPRODUCT((TEXT(Trades!$A$2:$A$50,"yyyy-mm-dd")="2026-06-30")*(Trades!$N$2:$N$50&gt;0)*1)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SUMPRODUCT((TEXT(Trades!$A$2:$A$50,"yyyy-mm-dd")="2026-07-01")*Trades!$N$2:$N$50)</f>
        <v/>
      </c>
      <c r="C6" s="11">
        <f>SUM($B$2:B6)</f>
        <v/>
      </c>
      <c r="D6">
        <f>SUMPRODUCT((TEXT(Trades!$A$2:$A$50,"yyyy-mm-dd")="2026-07-01")*(Trades!$P$2:$P$50="Closed")*1)</f>
        <v/>
      </c>
      <c r="E6">
        <f>SUMPRODUCT((TEXT(Trades!$A$2:$A$50,"yyyy-mm-dd")="2026-07-01")*(Trades!$N$2:$N$50&gt;0)*1)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SUMPRODUCT((TEXT(Trades!$A$2:$A$50,"yyyy-mm-dd")="2026-07-06")*Trades!$N$2:$N$50)</f>
        <v/>
      </c>
      <c r="C7" s="11">
        <f>SUM($B$2:B7)</f>
        <v/>
      </c>
      <c r="D7">
        <f>SUMPRODUCT((TEXT(Trades!$A$2:$A$50,"yyyy-mm-dd")="2026-07-06")*(Trades!$P$2:$P$50="Closed")*1)</f>
        <v/>
      </c>
      <c r="E7">
        <f>SUMPRODUCT((TEXT(Trades!$A$2:$A$50,"yyyy-mm-dd")="2026-07-06")*(Trades!$N$2:$N$50&gt;0)*1)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SUMPRODUCT((TEXT(Trades!$A$2:$A$50,"yyyy-mm-dd")="2026-07-07")*Trades!$N$2:$N$50)</f>
        <v/>
      </c>
      <c r="C8" s="11">
        <f>SUM($B$2:B8)</f>
        <v/>
      </c>
      <c r="D8">
        <f>SUMPRODUCT((TEXT(Trades!$A$2:$A$50,"yyyy-mm-dd")="2026-07-07")*(Trades!$P$2:$P$50="Closed")*1)</f>
        <v/>
      </c>
      <c r="E8">
        <f>SUMPRODUCT((TEXT(Trades!$A$2:$A$50,"yyyy-mm-dd")="2026-07-07")*(Trades!$N$2:$N$50&gt;0)*1)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SUMPRODUCT((TEXT(Trades!$A$2:$A$50,"yyyy-mm-dd")="2026-07-08")*Trades!$N$2:$N$50)</f>
        <v/>
      </c>
      <c r="C9" s="11">
        <f>SUM($B$2:B9)</f>
        <v/>
      </c>
      <c r="D9">
        <f>SUMPRODUCT((TEXT(Trades!$A$2:$A$50,"yyyy-mm-dd")="2026-07-08")*(Trades!$P$2:$P$50="Closed")*1)</f>
        <v/>
      </c>
      <c r="E9">
        <f>SUMPRODUCT((TEXT(Trades!$A$2:$A$50,"yyyy-mm-dd")="2026-07-08")*(Trades!$N$2:$N$50&gt;0)*1)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SUMPRODUCT((TEXT(Trades!$A$2:$A$50,"yyyy-mm-dd")="2026-07-09")*Trades!$N$2:$N$50)</f>
        <v/>
      </c>
      <c r="C10" s="11">
        <f>SUM($B$2:B10)</f>
        <v/>
      </c>
      <c r="D10">
        <f>SUMPRODUCT((TEXT(Trades!$A$2:$A$50,"yyyy-mm-dd")="2026-07-09")*(Trades!$P$2:$P$50="Closed")*1)</f>
        <v/>
      </c>
      <c r="E10">
        <f>SUMPRODUCT((TEXT(Trades!$A$2:$A$50,"yyyy-mm-dd")="2026-07-09")*(Trades!$N$2:$N$50&gt;0)*1)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SUMPRODUCT((TEXT(Trades!$A$2:$A$50,"yyyy-mm-dd")="2026-07-10")*Trades!$N$2:$N$50)</f>
        <v/>
      </c>
      <c r="C11" s="11">
        <f>SUM($B$2:B11)</f>
        <v/>
      </c>
      <c r="D11">
        <f>SUMPRODUCT((TEXT(Trades!$A$2:$A$50,"yyyy-mm-dd")="2026-07-10")*(Trades!$P$2:$P$50="Closed")*1)</f>
        <v/>
      </c>
      <c r="E11">
        <f>SUMPRODUCT((TEXT(Trades!$A$2:$A$50,"yyyy-mm-dd")="2026-07-10")*(Trades!$N$2:$N$50&gt;0)*1)</f>
        <v/>
      </c>
      <c r="F11">
        <f>D11-E11</f>
        <v/>
      </c>
    </row>
    <row r="12">
      <c r="A12" t="inlineStr">
        <is>
          <t>07/13</t>
        </is>
      </c>
      <c r="B12" s="11">
        <f>SUMPRODUCT((TEXT(Trades!$A$2:$A$50,"yyyy-mm-dd")="2026-07-13")*Trades!$N$2:$N$50)</f>
        <v/>
      </c>
      <c r="C12" s="11">
        <f>SUM($B$2:B12)</f>
        <v/>
      </c>
      <c r="D12">
        <f>SUMPRODUCT((TEXT(Trades!$A$2:$A$50,"yyyy-mm-dd")="2026-07-13")*(Trades!$P$2:$P$50="Closed")*1)</f>
        <v/>
      </c>
      <c r="E12">
        <f>SUMPRODUCT((TEXT(Trades!$A$2:$A$50,"yyyy-mm-dd")="2026-07-13")*(Trades!$N$2:$N$50&gt;0)*1)</f>
        <v/>
      </c>
      <c r="F12">
        <f>D12-E12</f>
        <v/>
      </c>
    </row>
    <row r="13">
      <c r="A13" t="inlineStr">
        <is>
          <t>07/14</t>
        </is>
      </c>
      <c r="B13" s="11">
        <f>SUMPRODUCT((TEXT(Trades!$A$2:$A$50,"yyyy-mm-dd")="2026-07-14")*Trades!$N$2:$N$50)</f>
        <v/>
      </c>
      <c r="C13" s="11">
        <f>SUM($B$2:B13)</f>
        <v/>
      </c>
      <c r="D13">
        <f>SUMPRODUCT((TEXT(Trades!$A$2:$A$50,"yyyy-mm-dd")="2026-07-14")*(Trades!$P$2:$P$50="Closed")*1)</f>
        <v/>
      </c>
      <c r="E13">
        <f>SUMPRODUCT((TEXT(Trades!$A$2:$A$50,"yyyy-mm-dd")="2026-07-14")*(Trades!$N$2:$N$50&gt;0)*1)</f>
        <v/>
      </c>
      <c r="F13">
        <f>D13-E13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SUMIFS(Trades!$N$2:$N$50,Trades!$B$2:$B$50,A3)</f>
        <v/>
      </c>
      <c r="C3">
        <f>COUNTIFS(Trades!$B$2:$B$50,A3,Trades!$P$2:$P$50,"Closed")</f>
        <v/>
      </c>
      <c r="D3" s="13">
        <f>IF(C3=0,0,COUNTIFS(Trades!$B$2:$B$50,A3,Trades!$N$2:$N$50,"&gt;0")/C3)</f>
        <v/>
      </c>
    </row>
    <row r="4">
      <c r="A4" t="inlineStr">
        <is>
          <t>QQQ</t>
        </is>
      </c>
      <c r="B4" s="11">
        <f>SUMIFS(Trades!$N$2:$N$50,Trades!$B$2:$B$50,A4)</f>
        <v/>
      </c>
      <c r="C4">
        <f>COUNTIFS(Trades!$B$2:$B$50,A4,Trades!$P$2:$P$50,"Closed")</f>
        <v/>
      </c>
      <c r="D4" s="13">
        <f>IF(C4=0,0,COUNTIFS(Trades!$B$2:$B$50,A4,Trades!$N$2:$N$50,"&gt;0")/C4)</f>
        <v/>
      </c>
    </row>
    <row r="5">
      <c r="A5" t="inlineStr">
        <is>
          <t>SPY</t>
        </is>
      </c>
      <c r="B5" s="11">
        <f>SUMIFS(Trades!$N$2:$N$50,Trades!$B$2:$B$50,A5)</f>
        <v/>
      </c>
      <c r="C5">
        <f>COUNTIFS(Trades!$B$2:$B$50,A5,Trades!$P$2:$P$50,"Closed")</f>
        <v/>
      </c>
      <c r="D5" s="13">
        <f>IF(C5=0,0,COUNTIFS(Trades!$B$2:$B$50,A5,Trades!$N$2:$N$50,"&gt;0")/C5)</f>
        <v/>
      </c>
    </row>
    <row r="6">
      <c r="A6" t="inlineStr">
        <is>
          <t>XSP</t>
        </is>
      </c>
      <c r="B6" s="11">
        <f>SUMIFS(Trades!$N$2:$N$50,Trades!$B$2:$B$50,A6)</f>
        <v/>
      </c>
      <c r="C6">
        <f>COUNTIFS(Trades!$B$2:$B$50,A6,Trades!$P$2:$P$50,"Closed")</f>
        <v/>
      </c>
      <c r="D6" s="13">
        <f>IF(C6=0,0,COUNTIFS(Trades!$B$2:$B$50,A6,Trades!$N$2:$N$50,"&gt;0")/C6)</f>
        <v/>
      </c>
    </row>
    <row r="9">
      <c r="A9" s="12" t="inlineStr">
        <is>
          <t>By Exit Rule</t>
        </is>
      </c>
    </row>
    <row r="10">
      <c r="A10" s="8" t="inlineStr">
        <is>
          <t>Exit Rule</t>
        </is>
      </c>
      <c r="B10" s="8" t="inlineStr">
        <is>
          <t>P&amp;L $</t>
        </is>
      </c>
      <c r="C10" s="8" t="inlineStr">
        <is>
          <t>Count</t>
        </is>
      </c>
      <c r="D10" s="8" t="inlineStr">
        <is>
          <t>Avg P&amp;L $</t>
        </is>
      </c>
    </row>
    <row r="11">
      <c r="A11" t="inlineStr">
        <is>
          <t>Invalidation</t>
        </is>
      </c>
      <c r="B11" s="11">
        <f>SUMIFS(Trades!$N$2:$N$50,Trades!$O$2:$O$50,A11)</f>
        <v/>
      </c>
      <c r="C11">
        <f>COUNTIF(Trades!$O$2:$O$50,A11)</f>
        <v/>
      </c>
      <c r="D11" s="11">
        <f>IF(C11=0,0,B11/C11)</f>
        <v/>
      </c>
    </row>
    <row r="12">
      <c r="A12" t="inlineStr">
        <is>
          <t>Hard Stop</t>
        </is>
      </c>
      <c r="B12" s="11">
        <f>SUMIFS(Trades!$N$2:$N$50,Trades!$O$2:$O$50,A12)</f>
        <v/>
      </c>
      <c r="C12">
        <f>COUNTIF(Trades!$O$2:$O$50,A12)</f>
        <v/>
      </c>
      <c r="D12" s="11">
        <f>IF(C12=0,0,B12/C12)</f>
        <v/>
      </c>
    </row>
    <row r="13">
      <c r="A13" t="inlineStr">
        <is>
          <t>Trail (new)</t>
        </is>
      </c>
      <c r="B13" s="11">
        <f>SUMIFS(Trades!$N$2:$N$50,Trades!$O$2:$O$50,A13)</f>
        <v/>
      </c>
      <c r="C13">
        <f>COUNTIF(Trades!$O$2:$O$50,A13)</f>
        <v/>
      </c>
      <c r="D13" s="11">
        <f>IF(C13=0,0,B13/C13)</f>
        <v/>
      </c>
    </row>
    <row r="14">
      <c r="A14" t="inlineStr">
        <is>
          <t>Old rule (removed)</t>
        </is>
      </c>
      <c r="B14" s="11">
        <f>SUMIFS(Trades!$N$2:$N$50,Trades!$O$2:$O$50,A14)</f>
        <v/>
      </c>
      <c r="C14">
        <f>COUNTIF(Trades!$O$2:$O$50,A14)</f>
        <v/>
      </c>
      <c r="D14" s="11">
        <f>IF(C14=0,0,B14/C14)</f>
        <v/>
      </c>
    </row>
    <row r="17">
      <c r="A17" s="12" t="inlineStr">
        <is>
          <t>By Entry Hour (ET)</t>
        </is>
      </c>
    </row>
    <row r="18">
      <c r="A18" s="8" t="inlineStr">
        <is>
          <t>Hour</t>
        </is>
      </c>
      <c r="B18" s="8" t="inlineStr">
        <is>
          <t>P&amp;L $</t>
        </is>
      </c>
      <c r="C18" s="8" t="inlineStr">
        <is>
          <t>Trades</t>
        </is>
      </c>
    </row>
    <row r="19">
      <c r="A19" t="inlineStr">
        <is>
          <t>9:00</t>
        </is>
      </c>
      <c r="B19" s="11">
        <f>SUMIFS(Trades!$N$2:$N$50,Trades!$G$2:$G$50,9)</f>
        <v/>
      </c>
      <c r="C19">
        <f>COUNTIFS(Trades!$G$2:$G$50,9,Trades!$P$2:$P$50,"Closed")</f>
        <v/>
      </c>
    </row>
    <row r="20">
      <c r="A20" t="inlineStr">
        <is>
          <t>10:00</t>
        </is>
      </c>
      <c r="B20" s="11">
        <f>SUMIFS(Trades!$N$2:$N$50,Trades!$G$2:$G$50,10)</f>
        <v/>
      </c>
      <c r="C20">
        <f>COUNTIFS(Trades!$G$2:$G$50,10,Trades!$P$2:$P$50,"Closed")</f>
        <v/>
      </c>
    </row>
    <row r="21">
      <c r="A21" t="inlineStr">
        <is>
          <t>11:00</t>
        </is>
      </c>
      <c r="B21" s="11">
        <f>SUMIFS(Trades!$N$2:$N$50,Trades!$G$2:$G$50,11)</f>
        <v/>
      </c>
      <c r="C21">
        <f>COUNTIFS(Trades!$G$2:$G$50,11,Trades!$P$2:$P$50,"Closed")</f>
        <v/>
      </c>
    </row>
    <row r="22">
      <c r="A22" t="inlineStr">
        <is>
          <t>12:00</t>
        </is>
      </c>
      <c r="B22" s="11">
        <f>SUMIFS(Trades!$N$2:$N$50,Trades!$G$2:$G$50,12)</f>
        <v/>
      </c>
      <c r="C22">
        <f>COUNTIFS(Trades!$G$2:$G$50,12,Trades!$P$2:$P$50,"Closed")</f>
        <v/>
      </c>
    </row>
    <row r="23">
      <c r="A23" t="inlineStr">
        <is>
          <t>13:00</t>
        </is>
      </c>
      <c r="B23" s="11">
        <f>SUMIFS(Trades!$N$2:$N$50,Trades!$G$2:$G$50,13)</f>
        <v/>
      </c>
      <c r="C23">
        <f>COUNTIFS(Trades!$G$2:$G$50,13,Trades!$P$2:$P$50,"Closed")</f>
        <v/>
      </c>
    </row>
    <row r="24">
      <c r="A24" t="inlineStr">
        <is>
          <t>14:00</t>
        </is>
      </c>
      <c r="B24" s="11">
        <f>SUMIFS(Trades!$N$2:$N$50,Trades!$G$2:$G$50,14)</f>
        <v/>
      </c>
      <c r="C24">
        <f>COUNTIFS(Trades!$G$2:$G$50,14,Trades!$P$2:$P$50,"Closed")</f>
        <v/>
      </c>
    </row>
    <row r="25">
      <c r="A25" t="inlineStr">
        <is>
          <t>15:00</t>
        </is>
      </c>
      <c r="B25" s="11">
        <f>SUMIFS(Trades!$N$2:$N$50,Trades!$G$2:$G$50,15)</f>
        <v/>
      </c>
      <c r="C25">
        <f>COUNTIFS(Trades!$G$2:$G$50,15,Trades!$P$2:$P$50,"Closed")</f>
        <v/>
      </c>
    </row>
    <row r="28">
      <c r="A28" s="12" t="inlineStr">
        <is>
          <t>By Conviction Tier</t>
        </is>
      </c>
    </row>
    <row r="29">
      <c r="A29" s="8" t="inlineStr">
        <is>
          <t>Tier</t>
        </is>
      </c>
      <c r="B29" s="8" t="inlineStr">
        <is>
          <t>P&amp;L $</t>
        </is>
      </c>
      <c r="C29" s="8" t="inlineStr">
        <is>
          <t>Trades</t>
        </is>
      </c>
      <c r="D29" s="8" t="inlineStr">
        <is>
          <t>Win rate</t>
        </is>
      </c>
    </row>
    <row r="30">
      <c r="A30" t="inlineStr">
        <is>
          <t>LOW</t>
        </is>
      </c>
      <c r="B30" s="11">
        <f>SUMIFS(Trades!$N$2:$N$50,Trades!$Q$2:$Q$50,A30&amp;" *")</f>
        <v/>
      </c>
      <c r="C30">
        <f>COUNTIFS(Trades!$Q$2:$Q$50,A30&amp;" *",Trades!$P$2:$P$50,"Closed")</f>
        <v/>
      </c>
      <c r="D30" s="13">
        <f>IF(C30=0,0,COUNTIFS(Trades!$Q$2:$Q$50,A30&amp;" *",Trades!$N$2:$N$50,"&gt;0")/C30)</f>
        <v/>
      </c>
    </row>
    <row r="31">
      <c r="A31" t="inlineStr">
        <is>
          <t>MEDIUM</t>
        </is>
      </c>
      <c r="B31" s="11">
        <f>SUMIFS(Trades!$N$2:$N$50,Trades!$Q$2:$Q$50,A31&amp;" *")</f>
        <v/>
      </c>
      <c r="C31">
        <f>COUNTIFS(Trades!$Q$2:$Q$50,A31&amp;" *",Trades!$P$2:$P$50,"Closed")</f>
        <v/>
      </c>
      <c r="D31" s="13">
        <f>IF(C31=0,0,COUNTIFS(Trades!$Q$2:$Q$50,A31&amp;" *",Trades!$N$2:$N$50,"&gt;0")/C31)</f>
        <v/>
      </c>
    </row>
    <row r="32">
      <c r="A32" t="inlineStr">
        <is>
          <t>HIGH</t>
        </is>
      </c>
      <c r="B32" s="11">
        <f>SUMIFS(Trades!$N$2:$N$50,Trades!$Q$2:$Q$50,A32&amp;" *")</f>
        <v/>
      </c>
      <c r="C32">
        <f>COUNTIFS(Trades!$Q$2:$Q$50,A32&amp;" *",Trades!$P$2:$P$50,"Closed")</f>
        <v/>
      </c>
      <c r="D32" s="13">
        <f>IF(C32=0,0,COUNTIFS(Trades!$Q$2:$Q$50,A32&amp;" *",Trades!$N$2:$N$50,"&gt;0")/C32)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2026-07-14T20:00:42Z</dcterms:created>
  <dcterms:modified xsi:type="dcterms:W3CDTF">2026-07-14T20:00:42Z</dcterms:modified>
</cp:coreProperties>
</file>