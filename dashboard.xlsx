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'Daily'!$A$2:$A$4</f>
            </numRef>
          </cat>
          <val>
            <numRef>
              <f>'Daily'!$B$2:$B$4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'Daily'!$A$2:$A$4</f>
            </numRef>
          </cat>
          <val>
            <numRef>
              <f>'Daily'!$C$2:$C$4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2026-08-19 15:00 — refresh: python scripts/build_dashboard.py</t>
        </is>
      </c>
    </row>
    <row r="4">
      <c r="A4" s="3" t="inlineStr">
        <is>
          <t>Total P&amp;L $</t>
        </is>
      </c>
      <c r="B4" s="4">
        <f>SUM(Trades!$N$2:$N$4)</f>
        <v/>
      </c>
    </row>
    <row r="5">
      <c r="A5" s="3" t="inlineStr">
        <is>
          <t>Closed trades</t>
        </is>
      </c>
      <c r="B5" s="5">
        <f>COUNTIF(Trades!$P$2:$P$4,"Closed")</f>
        <v/>
      </c>
    </row>
    <row r="6">
      <c r="A6" s="3" t="inlineStr">
        <is>
          <t>Win rate</t>
        </is>
      </c>
      <c r="B6" s="6">
        <f>COUNTIF(Trades!$N$2:$N$4,"&gt;0")/B5</f>
        <v/>
      </c>
    </row>
    <row r="7">
      <c r="A7" s="3" t="inlineStr">
        <is>
          <t>Avg win $</t>
        </is>
      </c>
      <c r="B7" s="4">
        <f>AVERAGEIF(Trades!$N$2:$N$4,"&gt;0")</f>
        <v/>
      </c>
    </row>
    <row r="8">
      <c r="A8" s="3" t="inlineStr">
        <is>
          <t>Avg loss $</t>
        </is>
      </c>
      <c r="B8" s="4">
        <f>IF(COUNTIF(Trades!$N$2:$N$4,"&lt;0")=0,0,AVERAGEIF(Trades!$N$2:$N$4,"&lt;0"))</f>
        <v/>
      </c>
    </row>
    <row r="9">
      <c r="A9" s="3" t="inlineStr">
        <is>
          <t>Profit factor</t>
        </is>
      </c>
      <c r="B9" s="7">
        <f>IF(SUMIF(Trades!$N$2:$N$4,"&lt;0")=0,0,-SUMIF(Trades!$N$2:$N$4,"&gt;0")/SUMIF(Trades!$N$2:$N$4,"&lt;0"))</f>
        <v/>
      </c>
    </row>
    <row r="10">
      <c r="A10" s="3" t="inlineStr">
        <is>
          <t>Best day $</t>
        </is>
      </c>
      <c r="B10" s="4">
        <f>MAX(Daily!$B$2:$B$4)</f>
        <v/>
      </c>
    </row>
    <row r="11">
      <c r="A11" s="3" t="inlineStr">
        <is>
          <t>Worst day $</t>
        </is>
      </c>
      <c r="B11" s="4">
        <f>MIN(Daily!$B$2:$B$4)</f>
        <v/>
      </c>
    </row>
    <row r="12">
      <c r="A12" s="3" t="inlineStr">
        <is>
          <t>Commissions $</t>
        </is>
      </c>
      <c r="B12" s="4">
        <f>SUM(Trades!$R$2:$R$4)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  <row r="3">
      <c r="A3" s="9" t="n">
        <v>46252</v>
      </c>
      <c r="B3" s="10" t="inlineStr">
        <is>
          <t>SPX</t>
        </is>
      </c>
      <c r="C3" s="10" t="inlineStr">
        <is>
          <t>PUT</t>
        </is>
      </c>
      <c r="D3" s="10" t="inlineStr">
        <is>
          <t>08-18 10:13</t>
        </is>
      </c>
      <c r="E3" s="10" t="inlineStr">
        <is>
          <t>08-18 13:10</t>
        </is>
      </c>
      <c r="F3" s="10" t="n">
        <v>177</v>
      </c>
      <c r="G3" s="10" t="n">
        <v>10</v>
      </c>
      <c r="H3" s="10" t="n">
        <v>10</v>
      </c>
      <c r="I3" s="10" t="n">
        <v>2</v>
      </c>
      <c r="J3" s="10" t="n"/>
      <c r="K3" s="10" t="n"/>
      <c r="L3" s="6" t="n">
        <v>0.04</v>
      </c>
      <c r="M3" s="6" t="n">
        <v>-0.8</v>
      </c>
      <c r="N3" s="4" t="n">
        <v>-800</v>
      </c>
      <c r="O3" s="10" t="inlineStr">
        <is>
          <t>Other</t>
        </is>
      </c>
      <c r="P3" s="10" t="inlineStr">
        <is>
          <t>Closed</t>
        </is>
      </c>
      <c r="Q3" s="10" t="inlineStr"/>
      <c r="R3" s="4" t="n">
        <v>3.26</v>
      </c>
    </row>
    <row r="4">
      <c r="A4" s="9" t="n">
        <v>46253</v>
      </c>
      <c r="B4" s="10" t="inlineStr">
        <is>
          <t>SPX</t>
        </is>
      </c>
      <c r="C4" s="10" t="inlineStr">
        <is>
          <t>PUT</t>
        </is>
      </c>
      <c r="D4" s="10" t="inlineStr">
        <is>
          <t>08-19 09:50</t>
        </is>
      </c>
      <c r="E4" s="10" t="inlineStr">
        <is>
          <t>08-19 10:54</t>
        </is>
      </c>
      <c r="F4" s="10" t="n">
        <v>64</v>
      </c>
      <c r="G4" s="10" t="n">
        <v>9</v>
      </c>
      <c r="H4" s="10" t="n">
        <v>13.8</v>
      </c>
      <c r="I4" s="10" t="n">
        <v>2.65</v>
      </c>
      <c r="J4" s="10" t="n"/>
      <c r="K4" s="10" t="n"/>
      <c r="L4" s="6" t="n">
        <v>0.2826</v>
      </c>
      <c r="M4" s="6" t="n">
        <v>-0.8079999999999999</v>
      </c>
      <c r="N4" s="4" t="n">
        <v>-1115</v>
      </c>
      <c r="O4" s="10" t="inlineStr">
        <is>
          <t>Other</t>
        </is>
      </c>
      <c r="P4" s="10" t="inlineStr">
        <is>
          <t>Closed</t>
        </is>
      </c>
      <c r="Q4" s="10" t="inlineStr"/>
      <c r="R4" s="4" t="n">
        <v>3.26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SUMPRODUCT((TEXT(Trades!$A$2:$A$4,"yyyy-mm-dd")="2026-08-17")*Trades!$N$2:$N$4)</f>
        <v/>
      </c>
      <c r="C2" s="11">
        <f>SUM($B$2:B2)</f>
        <v/>
      </c>
      <c r="D2">
        <f>SUMPRODUCT((TEXT(Trades!$A$2:$A$4,"yyyy-mm-dd")="2026-08-17")*(Trades!$P$2:$P$4="Closed")*1)</f>
        <v/>
      </c>
      <c r="E2">
        <f>SUMPRODUCT((TEXT(Trades!$A$2:$A$4,"yyyy-mm-dd")="2026-08-17")*(Trades!$N$2:$N$4&gt;0)*1)</f>
        <v/>
      </c>
      <c r="F2">
        <f>D2-E2</f>
        <v/>
      </c>
    </row>
    <row r="3">
      <c r="A3" t="inlineStr">
        <is>
          <t>08/18</t>
        </is>
      </c>
      <c r="B3" s="11">
        <f>SUMPRODUCT((TEXT(Trades!$A$2:$A$4,"yyyy-mm-dd")="2026-08-18")*Trades!$N$2:$N$4)</f>
        <v/>
      </c>
      <c r="C3" s="11">
        <f>SUM($B$2:B3)</f>
        <v/>
      </c>
      <c r="D3">
        <f>SUMPRODUCT((TEXT(Trades!$A$2:$A$4,"yyyy-mm-dd")="2026-08-18")*(Trades!$P$2:$P$4="Closed")*1)</f>
        <v/>
      </c>
      <c r="E3">
        <f>SUMPRODUCT((TEXT(Trades!$A$2:$A$4,"yyyy-mm-dd")="2026-08-18")*(Trades!$N$2:$N$4&gt;0)*1)</f>
        <v/>
      </c>
      <c r="F3">
        <f>D3-E3</f>
        <v/>
      </c>
    </row>
    <row r="4">
      <c r="A4" t="inlineStr">
        <is>
          <t>08/19</t>
        </is>
      </c>
      <c r="B4" s="11">
        <f>SUMPRODUCT((TEXT(Trades!$A$2:$A$4,"yyyy-mm-dd")="2026-08-19")*Trades!$N$2:$N$4)</f>
        <v/>
      </c>
      <c r="C4" s="11">
        <f>SUM($B$2:B4)</f>
        <v/>
      </c>
      <c r="D4">
        <f>SUMPRODUCT((TEXT(Trades!$A$2:$A$4,"yyyy-mm-dd")="2026-08-19")*(Trades!$P$2:$P$4="Closed")*1)</f>
        <v/>
      </c>
      <c r="E4">
        <f>SUMPRODUCT((TEXT(Trades!$A$2:$A$4,"yyyy-mm-dd")="2026-08-19")*(Trades!$N$2:$N$4&gt;0)*1)</f>
        <v/>
      </c>
      <c r="F4">
        <f>D4-E4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SUMIFS(Trades!$N$2:$N$4,Trades!$B$2:$B$4,A3)</f>
        <v/>
      </c>
      <c r="C3">
        <f>COUNTIFS(Trades!$B$2:$B$4,A3,Trades!$P$2:$P$4,"Closed")</f>
        <v/>
      </c>
      <c r="D3" s="13">
        <f>IF(C3=0,0,COUNTIFS(Trades!$B$2:$B$4,A3,Trades!$N$2:$N$4,"&gt;0")/C3)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SUMIFS(Trades!$N$2:$N$4,Trades!$O$2:$O$4,A8)</f>
        <v/>
      </c>
      <c r="C8">
        <f>COUNTIF(Trades!$O$2:$O$4,A8)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SUMIFS(Trades!$N$2:$N$4,Trades!$O$2:$O$4,A9)</f>
        <v/>
      </c>
      <c r="C9">
        <f>COUNTIF(Trades!$O$2:$O$4,A9)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SUMIFS(Trades!$N$2:$N$4,Trades!$O$2:$O$4,A10)</f>
        <v/>
      </c>
      <c r="C10">
        <f>COUNTIF(Trades!$O$2:$O$4,A10)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SUMIFS(Trades!$N$2:$N$4,Trades!$O$2:$O$4,A11)</f>
        <v/>
      </c>
      <c r="C11">
        <f>COUNTIF(Trades!$O$2:$O$4,A11)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SUMIFS(Trades!$N$2:$N$4,Trades!$G$2:$G$4,9)</f>
        <v/>
      </c>
      <c r="C16">
        <f>COUNTIFS(Trades!$G$2:$G$4,9,Trades!$P$2:$P$4,"Closed")</f>
        <v/>
      </c>
    </row>
    <row r="17">
      <c r="A17" t="inlineStr">
        <is>
          <t>10:00</t>
        </is>
      </c>
      <c r="B17" s="11">
        <f>SUMIFS(Trades!$N$2:$N$4,Trades!$G$2:$G$4,10)</f>
        <v/>
      </c>
      <c r="C17">
        <f>COUNTIFS(Trades!$G$2:$G$4,10,Trades!$P$2:$P$4,"Closed")</f>
        <v/>
      </c>
    </row>
    <row r="18">
      <c r="A18" t="inlineStr">
        <is>
          <t>11:00</t>
        </is>
      </c>
      <c r="B18" s="11">
        <f>SUMIFS(Trades!$N$2:$N$4,Trades!$G$2:$G$4,11)</f>
        <v/>
      </c>
      <c r="C18">
        <f>COUNTIFS(Trades!$G$2:$G$4,11,Trades!$P$2:$P$4,"Closed")</f>
        <v/>
      </c>
    </row>
    <row r="19">
      <c r="A19" t="inlineStr">
        <is>
          <t>12:00</t>
        </is>
      </c>
      <c r="B19" s="11">
        <f>SUMIFS(Trades!$N$2:$N$4,Trades!$G$2:$G$4,12)</f>
        <v/>
      </c>
      <c r="C19">
        <f>COUNTIFS(Trades!$G$2:$G$4,12,Trades!$P$2:$P$4,"Closed")</f>
        <v/>
      </c>
    </row>
    <row r="20">
      <c r="A20" t="inlineStr">
        <is>
          <t>13:00</t>
        </is>
      </c>
      <c r="B20" s="11">
        <f>SUMIFS(Trades!$N$2:$N$4,Trades!$G$2:$G$4,13)</f>
        <v/>
      </c>
      <c r="C20">
        <f>COUNTIFS(Trades!$G$2:$G$4,13,Trades!$P$2:$P$4,"Closed")</f>
        <v/>
      </c>
    </row>
    <row r="21">
      <c r="A21" t="inlineStr">
        <is>
          <t>14:00</t>
        </is>
      </c>
      <c r="B21" s="11">
        <f>SUMIFS(Trades!$N$2:$N$4,Trades!$G$2:$G$4,14)</f>
        <v/>
      </c>
      <c r="C21">
        <f>COUNTIFS(Trades!$G$2:$G$4,14,Trades!$P$2:$P$4,"Closed")</f>
        <v/>
      </c>
    </row>
    <row r="22">
      <c r="A22" t="inlineStr">
        <is>
          <t>15:00</t>
        </is>
      </c>
      <c r="B22" s="11">
        <f>SUMIFS(Trades!$N$2:$N$4,Trades!$G$2:$G$4,15)</f>
        <v/>
      </c>
      <c r="C22">
        <f>COUNTIFS(Trades!$G$2:$G$4,15,Trades!$P$2:$P$4,"Closed")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SUMIFS(Trades!$N$2:$N$4,Trades!$Q$2:$Q$4,A27&amp;" *")</f>
        <v/>
      </c>
      <c r="C27">
        <f>COUNTIFS(Trades!$Q$2:$Q$4,A27&amp;" *",Trades!$P$2:$P$4,"Closed")</f>
        <v/>
      </c>
      <c r="D27" s="13">
        <f>IF(C27=0,0,COUNTIFS(Trades!$Q$2:$Q$4,A27&amp;" *",Trades!$N$2:$N$4,"&gt;0")/C27)</f>
        <v/>
      </c>
    </row>
    <row r="28">
      <c r="A28" t="inlineStr">
        <is>
          <t>MEDIUM</t>
        </is>
      </c>
      <c r="B28" s="11">
        <f>SUMIFS(Trades!$N$2:$N$4,Trades!$Q$2:$Q$4,A28&amp;" *")</f>
        <v/>
      </c>
      <c r="C28">
        <f>COUNTIFS(Trades!$Q$2:$Q$4,A28&amp;" *",Trades!$P$2:$P$4,"Closed")</f>
        <v/>
      </c>
      <c r="D28" s="13">
        <f>IF(C28=0,0,COUNTIFS(Trades!$Q$2:$Q$4,A28&amp;" *",Trades!$N$2:$N$4,"&gt;0")/C28)</f>
        <v/>
      </c>
    </row>
    <row r="29">
      <c r="A29" t="inlineStr">
        <is>
          <t>HIGH</t>
        </is>
      </c>
      <c r="B29" s="11">
        <f>SUMIFS(Trades!$N$2:$N$4,Trades!$Q$2:$Q$4,A29&amp;" *")</f>
        <v/>
      </c>
      <c r="C29">
        <f>COUNTIFS(Trades!$Q$2:$Q$4,A29&amp;" *",Trades!$P$2:$P$4,"Closed")</f>
        <v/>
      </c>
      <c r="D29" s="13">
        <f>IF(C29=0,0,COUNTIFS(Trades!$Q$2:$Q$4,A29&amp;" *",Trades!$N$2:$N$4,"&gt;0")/C29)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2026-08-19T20:00:31Z</dcterms:created>
  <dcterms:modified xsi:type="dcterms:W3CDTF">2026-08-19T20:00:31Z</dcterms:modified>
</cp:coreProperties>
</file>