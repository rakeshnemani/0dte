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s" sheetId="2" state="visible" r:id="rId2"/>
    <sheet name="Daily" sheetId="3" state="visible" r:id="rId3"/>
    <sheet name="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;(0.0%);-"/>
    <numFmt numFmtId="166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  <sz val="16"/>
    </font>
    <font>
      <name val="Arial"/>
      <i val="1"/>
      <color rgb="00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Net P&amp;L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</f>
            </strRef>
          </tx>
          <spPr>
            <a:ln>
              <a:prstDash val="solid"/>
            </a:ln>
          </spPr>
          <cat>
            <numRef>
              <f>'Daily'!$A$2:$A$7</f>
            </numRef>
          </cat>
          <val>
            <numRef>
              <f>'Daily'!$B$2:$B$7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Equity Curve (cumulative $)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'Daily'!$A$2:$A$7</f>
            </numRef>
          </cat>
          <val>
            <numRef>
              <f>'Daily'!$C$2:$C$7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>
              <a:prstDash val="solid"/>
            </a:ln>
          </spPr>
          <cat>
            <numRef>
              <f>'Analysis'!$A$3:$A$5</f>
            </numRef>
          </cat>
          <val>
            <numRef>
              <f>'Analysis'!$B$3:$B$5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Exit Rule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'Analysis'!B9</f>
            </strRef>
          </tx>
          <spPr>
            <a:ln>
              <a:prstDash val="solid"/>
            </a:ln>
          </spPr>
          <cat>
            <numRef>
              <f>'Analysis'!$A$10:$A$13</f>
            </numRef>
          </cat>
          <val>
            <numRef>
              <f>'Analysis'!$B$10:$B$13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Entry Hour (ET)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'Analysis'!B17</f>
            </strRef>
          </tx>
          <spPr>
            <a:ln>
              <a:prstDash val="solid"/>
            </a:ln>
          </spPr>
          <cat>
            <numRef>
              <f>'Analysis'!$A$18:$A$24</f>
            </numRef>
          </cat>
          <val>
            <numRef>
              <f>'Analysis'!$B$18:$B$24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33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0DTE Bot — Performance Dashboard</t>
        </is>
      </c>
    </row>
    <row r="2">
      <c r="A2" s="2" t="inlineStr">
        <is>
          <t>Generated 2026-07-06 17:52 — refresh: python scripts/build_dashboard.py</t>
        </is>
      </c>
    </row>
    <row r="4">
      <c r="A4" s="3" t="inlineStr">
        <is>
          <t>Total P&amp;L $</t>
        </is>
      </c>
      <c r="B4" s="4">
        <f>SUM(Trades!$N$2:$N$26)</f>
        <v/>
      </c>
    </row>
    <row r="5">
      <c r="A5" s="3" t="inlineStr">
        <is>
          <t>Closed trades</t>
        </is>
      </c>
      <c r="B5" s="5">
        <f>COUNTIF(Trades!$P$2:$P$26,"Closed")</f>
        <v/>
      </c>
    </row>
    <row r="6">
      <c r="A6" s="3" t="inlineStr">
        <is>
          <t>Win rate</t>
        </is>
      </c>
      <c r="B6" s="6">
        <f>COUNTIF(Trades!$N$2:$N$26,"&gt;0")/B5</f>
        <v/>
      </c>
    </row>
    <row r="7">
      <c r="A7" s="3" t="inlineStr">
        <is>
          <t>Avg win $</t>
        </is>
      </c>
      <c r="B7" s="4">
        <f>AVERAGEIF(Trades!$N$2:$N$26,"&gt;0")</f>
        <v/>
      </c>
    </row>
    <row r="8">
      <c r="A8" s="3" t="inlineStr">
        <is>
          <t>Avg loss $</t>
        </is>
      </c>
      <c r="B8" s="4">
        <f>IF(COUNTIF(Trades!$N$2:$N$26,"&lt;0")=0,0,AVERAGEIF(Trades!$N$2:$N$26,"&lt;0"))</f>
        <v/>
      </c>
    </row>
    <row r="9">
      <c r="A9" s="3" t="inlineStr">
        <is>
          <t>Profit factor</t>
        </is>
      </c>
      <c r="B9" s="7">
        <f>IF(SUMIF(Trades!$N$2:$N$26,"&lt;0")=0,0,-SUMIF(Trades!$N$2:$N$26,"&gt;0")/SUMIF(Trades!$N$2:$N$26,"&lt;0"))</f>
        <v/>
      </c>
    </row>
    <row r="10">
      <c r="A10" s="3" t="inlineStr">
        <is>
          <t>Best day $</t>
        </is>
      </c>
      <c r="B10" s="4">
        <f>MAX(Daily!$B$2:$B$7)</f>
        <v/>
      </c>
    </row>
    <row r="11">
      <c r="A11" s="3" t="inlineStr">
        <is>
          <t>Worst day $</t>
        </is>
      </c>
      <c r="B11" s="4">
        <f>MIN(Daily!$B$2:$B$7)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12" customWidth="1" min="4" max="4"/>
    <col width="12" customWidth="1" min="5" max="5"/>
    <col width="9" customWidth="1" min="6" max="6"/>
    <col width="8" customWidth="1" min="7" max="7"/>
    <col width="8" customWidth="1" min="8" max="8"/>
    <col width="8" customWidth="1" min="9" max="9"/>
    <col width="7" customWidth="1" min="10" max="10"/>
    <col width="9" customWidth="1" min="11" max="11"/>
    <col width="8" customWidth="1" min="12" max="12"/>
    <col width="8" customWidth="1" min="13" max="13"/>
    <col width="11" customWidth="1" min="14" max="14"/>
    <col width="18" customWidth="1" min="15" max="15"/>
    <col width="16" customWidth="1" min="16" max="16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Direction</t>
        </is>
      </c>
      <c r="D1" s="8" t="inlineStr">
        <is>
          <t>Entry (ET)</t>
        </is>
      </c>
      <c r="E1" s="8" t="inlineStr">
        <is>
          <t>Exit (ET)</t>
        </is>
      </c>
      <c r="F1" s="8" t="inlineStr">
        <is>
          <t>Hold (min)</t>
        </is>
      </c>
      <c r="G1" s="8" t="inlineStr">
        <is>
          <t>Entry Hr</t>
        </is>
      </c>
      <c r="H1" s="8" t="inlineStr">
        <is>
          <t>Entry $</t>
        </is>
      </c>
      <c r="I1" s="8" t="inlineStr">
        <is>
          <t>Exit $</t>
        </is>
      </c>
      <c r="J1" s="8" t="inlineStr">
        <is>
          <t>ADX</t>
        </is>
      </c>
      <c r="K1" s="8" t="inlineStr">
        <is>
          <t>ADX Slope</t>
        </is>
      </c>
      <c r="L1" s="8" t="inlineStr">
        <is>
          <t>Peak %</t>
        </is>
      </c>
      <c r="M1" s="8" t="inlineStr">
        <is>
          <t>P&amp;L %</t>
        </is>
      </c>
      <c r="N1" s="8" t="inlineStr">
        <is>
          <t>P&amp;L $</t>
        </is>
      </c>
      <c r="O1" s="8" t="inlineStr">
        <is>
          <t>Exit Rule</t>
        </is>
      </c>
      <c r="P1" s="8" t="inlineStr">
        <is>
          <t>Status</t>
        </is>
      </c>
    </row>
    <row r="2">
      <c r="A2" s="9" t="n">
        <v>46147</v>
      </c>
      <c r="B2" s="10" t="inlineStr">
        <is>
          <t>SPY</t>
        </is>
      </c>
      <c r="C2" s="10" t="inlineStr">
        <is>
          <t>CALL</t>
        </is>
      </c>
      <c r="D2" s="10" t="inlineStr"/>
      <c r="E2" s="10" t="inlineStr">
        <is>
          <t>05-05 13:08</t>
        </is>
      </c>
      <c r="F2" s="10" t="n"/>
      <c r="G2" s="10" t="n"/>
      <c r="H2" s="10" t="n"/>
      <c r="I2" s="10" t="n">
        <v>0.19</v>
      </c>
      <c r="J2" s="10" t="n"/>
      <c r="K2" s="10" t="n"/>
      <c r="L2" s="6" t="n"/>
      <c r="M2" s="6" t="n">
        <v>-0.5</v>
      </c>
      <c r="N2" s="4" t="n">
        <v>-133</v>
      </c>
      <c r="O2" s="10" t="inlineStr">
        <is>
          <t>Hard Stop</t>
        </is>
      </c>
      <c r="P2" s="10" t="inlineStr">
        <is>
          <t>Closed</t>
        </is>
      </c>
    </row>
    <row r="3">
      <c r="A3" s="9" t="n">
        <v>46157</v>
      </c>
      <c r="B3" s="10" t="inlineStr">
        <is>
          <t>SPY</t>
        </is>
      </c>
      <c r="C3" s="10" t="inlineStr">
        <is>
          <t>CALL</t>
        </is>
      </c>
      <c r="D3" s="10" t="inlineStr">
        <is>
          <t>05-15 13:42</t>
        </is>
      </c>
      <c r="E3" s="10" t="inlineStr">
        <is>
          <t>05-15 13:47</t>
        </is>
      </c>
      <c r="F3" s="10" t="n">
        <v>5</v>
      </c>
      <c r="G3" s="10" t="n">
        <v>13</v>
      </c>
      <c r="H3" s="10" t="n">
        <v>0.3999999999999999</v>
      </c>
      <c r="I3" s="10" t="n">
        <v>0.4500000000000002</v>
      </c>
      <c r="J3" s="10" t="n">
        <v>26.31</v>
      </c>
      <c r="K3" s="10" t="n"/>
      <c r="L3" s="6" t="n"/>
      <c r="M3" s="6" t="n">
        <v>0.125</v>
      </c>
      <c r="N3" s="4" t="n">
        <v>35</v>
      </c>
      <c r="O3" s="10" t="inlineStr">
        <is>
          <t>Old rule (removed)</t>
        </is>
      </c>
      <c r="P3" s="10" t="inlineStr">
        <is>
          <t>Closed</t>
        </is>
      </c>
    </row>
    <row r="4">
      <c r="A4" s="9" t="n">
        <v>46202</v>
      </c>
      <c r="B4" s="10" t="inlineStr">
        <is>
          <t>IWM</t>
        </is>
      </c>
      <c r="C4" s="10" t="inlineStr">
        <is>
          <t>PUT</t>
        </is>
      </c>
      <c r="D4" s="10" t="inlineStr">
        <is>
          <t>06-29 11:22</t>
        </is>
      </c>
      <c r="E4" s="10" t="inlineStr">
        <is>
          <t>06-29 11:27</t>
        </is>
      </c>
      <c r="F4" s="10" t="n">
        <v>5</v>
      </c>
      <c r="G4" s="10" t="n">
        <v>11</v>
      </c>
      <c r="H4" s="10" t="n">
        <v>0.41</v>
      </c>
      <c r="I4" s="10" t="n">
        <v>0.45</v>
      </c>
      <c r="J4" s="10" t="n">
        <v>25.29</v>
      </c>
      <c r="K4" s="10" t="n"/>
      <c r="L4" s="6" t="n"/>
      <c r="M4" s="6" t="n">
        <v>0.09759999999999999</v>
      </c>
      <c r="N4" s="4" t="n">
        <v>28</v>
      </c>
      <c r="O4" s="10" t="inlineStr">
        <is>
          <t>Old rule (removed)</t>
        </is>
      </c>
      <c r="P4" s="10" t="inlineStr">
        <is>
          <t>Closed</t>
        </is>
      </c>
    </row>
    <row r="5">
      <c r="A5" s="9" t="n">
        <v>46202</v>
      </c>
      <c r="B5" s="10" t="inlineStr">
        <is>
          <t>QQQ</t>
        </is>
      </c>
      <c r="C5" s="10" t="inlineStr">
        <is>
          <t>CALL</t>
        </is>
      </c>
      <c r="D5" s="10" t="inlineStr">
        <is>
          <t>06-29 12:03</t>
        </is>
      </c>
      <c r="E5" s="10" t="inlineStr">
        <is>
          <t>06-29 12:06</t>
        </is>
      </c>
      <c r="F5" s="10" t="n">
        <v>3</v>
      </c>
      <c r="G5" s="10" t="n">
        <v>12</v>
      </c>
      <c r="H5" s="10" t="n">
        <v>0.57</v>
      </c>
      <c r="I5" s="10" t="n">
        <v>0.5649999999999999</v>
      </c>
      <c r="J5" s="10" t="n">
        <v>25.89</v>
      </c>
      <c r="K5" s="10" t="n"/>
      <c r="L5" s="6" t="n"/>
      <c r="M5" s="6" t="n">
        <v>-0.008800000000000001</v>
      </c>
      <c r="N5" s="4" t="n">
        <v>-2.5</v>
      </c>
      <c r="O5" s="10" t="inlineStr">
        <is>
          <t>Old rule (removed)</t>
        </is>
      </c>
      <c r="P5" s="10" t="inlineStr">
        <is>
          <t>Closed</t>
        </is>
      </c>
    </row>
    <row r="6">
      <c r="A6" s="9" t="n">
        <v>46202</v>
      </c>
      <c r="B6" s="10" t="inlineStr">
        <is>
          <t>IWM</t>
        </is>
      </c>
      <c r="C6" s="10" t="inlineStr">
        <is>
          <t>PUT</t>
        </is>
      </c>
      <c r="D6" s="10" t="inlineStr">
        <is>
          <t>06-29 12:18</t>
        </is>
      </c>
      <c r="E6" s="10" t="inlineStr">
        <is>
          <t>06-29 12:23</t>
        </is>
      </c>
      <c r="F6" s="10" t="n">
        <v>4</v>
      </c>
      <c r="G6" s="10" t="n">
        <v>12</v>
      </c>
      <c r="H6" s="10" t="n">
        <v>0.38</v>
      </c>
      <c r="I6" s="10" t="n">
        <v>0.33</v>
      </c>
      <c r="J6" s="10" t="n">
        <v>27.75</v>
      </c>
      <c r="K6" s="10" t="n"/>
      <c r="L6" s="6" t="n"/>
      <c r="M6" s="6" t="n">
        <v>-0.1316</v>
      </c>
      <c r="N6" s="4" t="n">
        <v>-35</v>
      </c>
      <c r="O6" s="10" t="inlineStr">
        <is>
          <t>Old rule (removed)</t>
        </is>
      </c>
      <c r="P6" s="10" t="inlineStr">
        <is>
          <t>Closed</t>
        </is>
      </c>
    </row>
    <row r="7">
      <c r="A7" s="9" t="n">
        <v>46202</v>
      </c>
      <c r="B7" s="10" t="inlineStr">
        <is>
          <t>QQQ</t>
        </is>
      </c>
      <c r="C7" s="10" t="inlineStr">
        <is>
          <t>CALL</t>
        </is>
      </c>
      <c r="D7" s="10" t="inlineStr">
        <is>
          <t>06-29 12:55</t>
        </is>
      </c>
      <c r="E7" s="10" t="inlineStr">
        <is>
          <t>06-29 13:05</t>
        </is>
      </c>
      <c r="F7" s="10" t="n">
        <v>10</v>
      </c>
      <c r="G7" s="10" t="n">
        <v>12</v>
      </c>
      <c r="H7" s="10" t="n">
        <v>0.52</v>
      </c>
      <c r="I7" s="10" t="n">
        <v>0.5049999999999999</v>
      </c>
      <c r="J7" s="10" t="n">
        <v>25.21</v>
      </c>
      <c r="K7" s="10" t="n"/>
      <c r="L7" s="6" t="n"/>
      <c r="M7" s="6" t="n">
        <v>-0.0288</v>
      </c>
      <c r="N7" s="4" t="n">
        <v>-7.5</v>
      </c>
      <c r="O7" s="10" t="inlineStr">
        <is>
          <t>Old rule (removed)</t>
        </is>
      </c>
      <c r="P7" s="10" t="inlineStr">
        <is>
          <t>Closed</t>
        </is>
      </c>
    </row>
    <row r="8">
      <c r="A8" s="9" t="n">
        <v>46202</v>
      </c>
      <c r="B8" s="10" t="inlineStr">
        <is>
          <t>SPY</t>
        </is>
      </c>
      <c r="C8" s="10" t="inlineStr">
        <is>
          <t>CALL</t>
        </is>
      </c>
      <c r="D8" s="10" t="inlineStr">
        <is>
          <t>06-29 13:15</t>
        </is>
      </c>
      <c r="E8" s="10" t="inlineStr">
        <is>
          <t>06-29 13:19</t>
        </is>
      </c>
      <c r="F8" s="10" t="n">
        <v>4</v>
      </c>
      <c r="G8" s="10" t="n">
        <v>13</v>
      </c>
      <c r="H8" s="10" t="n">
        <v>0.45</v>
      </c>
      <c r="I8" s="10" t="n">
        <v>0.45</v>
      </c>
      <c r="J8" s="10" t="n">
        <v>39.74</v>
      </c>
      <c r="K8" s="10" t="n"/>
      <c r="L8" s="6" t="n"/>
      <c r="M8" s="6" t="n">
        <v>-0</v>
      </c>
      <c r="N8" s="4" t="n">
        <v>-0</v>
      </c>
      <c r="O8" s="10" t="inlineStr">
        <is>
          <t>Old rule (removed)</t>
        </is>
      </c>
      <c r="P8" s="10" t="inlineStr">
        <is>
          <t>Closed</t>
        </is>
      </c>
    </row>
    <row r="9">
      <c r="A9" s="9" t="n">
        <v>46202</v>
      </c>
      <c r="B9" s="10" t="inlineStr">
        <is>
          <t>SPY</t>
        </is>
      </c>
      <c r="C9" s="10" t="inlineStr">
        <is>
          <t>CALL</t>
        </is>
      </c>
      <c r="D9" s="10" t="inlineStr">
        <is>
          <t>06-29 13:47</t>
        </is>
      </c>
      <c r="E9" s="10" t="inlineStr">
        <is>
          <t>06-29 13:55</t>
        </is>
      </c>
      <c r="F9" s="10" t="n">
        <v>8</v>
      </c>
      <c r="G9" s="10" t="n">
        <v>13</v>
      </c>
      <c r="H9" s="10" t="n">
        <v>0.49</v>
      </c>
      <c r="I9" s="10" t="n">
        <v>0.5399999999999998</v>
      </c>
      <c r="J9" s="10" t="n">
        <v>28.48</v>
      </c>
      <c r="K9" s="10" t="n"/>
      <c r="L9" s="6" t="n"/>
      <c r="M9" s="6" t="n">
        <v>0.102</v>
      </c>
      <c r="N9" s="4" t="n">
        <v>30</v>
      </c>
      <c r="O9" s="10" t="inlineStr">
        <is>
          <t>Old rule (removed)</t>
        </is>
      </c>
      <c r="P9" s="10" t="inlineStr">
        <is>
          <t>Closed</t>
        </is>
      </c>
    </row>
    <row r="10">
      <c r="A10" s="9" t="n">
        <v>46202</v>
      </c>
      <c r="B10" s="10" t="inlineStr">
        <is>
          <t>QQQ</t>
        </is>
      </c>
      <c r="C10" s="10" t="inlineStr">
        <is>
          <t>CALL</t>
        </is>
      </c>
      <c r="D10" s="10" t="inlineStr">
        <is>
          <t>06-29 15:52</t>
        </is>
      </c>
      <c r="E10" s="10" t="inlineStr"/>
      <c r="F10" s="10" t="n"/>
      <c r="G10" s="10" t="n">
        <v>15</v>
      </c>
      <c r="H10" s="10" t="n">
        <v>0.52</v>
      </c>
      <c r="I10" s="10" t="n"/>
      <c r="J10" s="10" t="n">
        <v>32.22</v>
      </c>
      <c r="K10" s="10" t="n"/>
      <c r="L10" s="6" t="n"/>
      <c r="M10" s="6" t="n"/>
      <c r="N10" s="4" t="n"/>
      <c r="O10" s="10" t="inlineStr"/>
      <c r="P10" s="10" t="inlineStr">
        <is>
          <t>Orphaned/manual</t>
        </is>
      </c>
    </row>
    <row r="11">
      <c r="A11" s="9" t="n">
        <v>46203</v>
      </c>
      <c r="B11" s="10" t="inlineStr">
        <is>
          <t>QQQ</t>
        </is>
      </c>
      <c r="C11" s="10" t="inlineStr">
        <is>
          <t>CALL</t>
        </is>
      </c>
      <c r="D11" s="10" t="inlineStr">
        <is>
          <t>06-30 10:06</t>
        </is>
      </c>
      <c r="E11" s="10" t="inlineStr">
        <is>
          <t>06-30 11:58</t>
        </is>
      </c>
      <c r="F11" s="10" t="n">
        <v>112</v>
      </c>
      <c r="G11" s="10" t="n">
        <v>10</v>
      </c>
      <c r="H11" s="10" t="n">
        <v>0.52</v>
      </c>
      <c r="I11" s="10" t="n">
        <v>0.73</v>
      </c>
      <c r="J11" s="10" t="n">
        <v>50.77</v>
      </c>
      <c r="K11" s="10" t="n"/>
      <c r="L11" s="6" t="n">
        <v>0.5385</v>
      </c>
      <c r="M11" s="6" t="n">
        <v>0.4038</v>
      </c>
      <c r="N11" s="4" t="n">
        <v>105</v>
      </c>
      <c r="O11" s="10" t="inlineStr">
        <is>
          <t>Trail (new)</t>
        </is>
      </c>
      <c r="P11" s="10" t="inlineStr">
        <is>
          <t>Closed</t>
        </is>
      </c>
    </row>
    <row r="12">
      <c r="A12" s="9" t="n">
        <v>46203</v>
      </c>
      <c r="B12" s="10" t="inlineStr">
        <is>
          <t>SPY</t>
        </is>
      </c>
      <c r="C12" s="10" t="inlineStr">
        <is>
          <t>CALL</t>
        </is>
      </c>
      <c r="D12" s="10" t="inlineStr">
        <is>
          <t>06-30 10:07</t>
        </is>
      </c>
      <c r="E12" s="10" t="inlineStr">
        <is>
          <t>06-30 12:09</t>
        </is>
      </c>
      <c r="F12" s="10" t="n">
        <v>122</v>
      </c>
      <c r="G12" s="10" t="n">
        <v>10</v>
      </c>
      <c r="H12" s="10" t="n">
        <v>0.52</v>
      </c>
      <c r="I12" s="10" t="n">
        <v>0.7549999999999999</v>
      </c>
      <c r="J12" s="10" t="n">
        <v>32.16</v>
      </c>
      <c r="K12" s="10" t="n"/>
      <c r="L12" s="6" t="n">
        <v>0.5192</v>
      </c>
      <c r="M12" s="6" t="n">
        <v>0.4519</v>
      </c>
      <c r="N12" s="4" t="n">
        <v>117.5</v>
      </c>
      <c r="O12" s="10" t="inlineStr">
        <is>
          <t>Trail (new)</t>
        </is>
      </c>
      <c r="P12" s="10" t="inlineStr">
        <is>
          <t>Closed</t>
        </is>
      </c>
    </row>
    <row r="13">
      <c r="A13" s="9" t="n">
        <v>46203</v>
      </c>
      <c r="B13" s="10" t="inlineStr">
        <is>
          <t>IWM</t>
        </is>
      </c>
      <c r="C13" s="10" t="inlineStr">
        <is>
          <t>CALL</t>
        </is>
      </c>
      <c r="D13" s="10" t="inlineStr">
        <is>
          <t>06-30 10:33</t>
        </is>
      </c>
      <c r="E13" s="10" t="inlineStr">
        <is>
          <t>06-30 13:32</t>
        </is>
      </c>
      <c r="F13" s="10" t="n">
        <v>179</v>
      </c>
      <c r="G13" s="10" t="n">
        <v>10</v>
      </c>
      <c r="H13" s="10" t="n">
        <v>0.417143</v>
      </c>
      <c r="I13" s="10" t="n">
        <v>0.6100000000000001</v>
      </c>
      <c r="J13" s="10" t="n">
        <v>25.02</v>
      </c>
      <c r="K13" s="10" t="n"/>
      <c r="L13" s="6" t="n">
        <v>0.5223</v>
      </c>
      <c r="M13" s="6" t="n">
        <v>0.4623</v>
      </c>
      <c r="N13" s="4" t="n">
        <v>135</v>
      </c>
      <c r="O13" s="10" t="inlineStr">
        <is>
          <t>Trail (new)</t>
        </is>
      </c>
      <c r="P13" s="10" t="inlineStr">
        <is>
          <t>Closed</t>
        </is>
      </c>
    </row>
    <row r="14">
      <c r="A14" s="9" t="n">
        <v>46203</v>
      </c>
      <c r="B14" s="10" t="inlineStr">
        <is>
          <t>QQQ</t>
        </is>
      </c>
      <c r="C14" s="10" t="inlineStr">
        <is>
          <t>CALL</t>
        </is>
      </c>
      <c r="D14" s="10" t="inlineStr">
        <is>
          <t>06-30 11:59</t>
        </is>
      </c>
      <c r="E14" s="10" t="inlineStr">
        <is>
          <t>06-30 13:13</t>
        </is>
      </c>
      <c r="F14" s="10" t="n">
        <v>74</v>
      </c>
      <c r="G14" s="10" t="n">
        <v>11</v>
      </c>
      <c r="H14" s="10" t="n">
        <v>0.44</v>
      </c>
      <c r="I14" s="10" t="n">
        <v>0.6599999999999995</v>
      </c>
      <c r="J14" s="10" t="n">
        <v>32.26</v>
      </c>
      <c r="K14" s="10" t="n"/>
      <c r="L14" s="6" t="n">
        <v>0.5682</v>
      </c>
      <c r="M14" s="6" t="n">
        <v>0.5</v>
      </c>
      <c r="N14" s="4" t="n">
        <v>132</v>
      </c>
      <c r="O14" s="10" t="inlineStr">
        <is>
          <t>Trail (new)</t>
        </is>
      </c>
      <c r="P14" s="10" t="inlineStr">
        <is>
          <t>Closed</t>
        </is>
      </c>
    </row>
    <row r="15">
      <c r="A15" s="9" t="n">
        <v>46203</v>
      </c>
      <c r="B15" s="10" t="inlineStr">
        <is>
          <t>SPY</t>
        </is>
      </c>
      <c r="C15" s="10" t="inlineStr">
        <is>
          <t>CALL</t>
        </is>
      </c>
      <c r="D15" s="10" t="inlineStr">
        <is>
          <t>06-30 12:10</t>
        </is>
      </c>
      <c r="E15" s="10" t="inlineStr">
        <is>
          <t>06-30 15:19</t>
        </is>
      </c>
      <c r="F15" s="10" t="n">
        <v>188</v>
      </c>
      <c r="G15" s="10" t="n">
        <v>12</v>
      </c>
      <c r="H15" s="10" t="n">
        <v>0.48</v>
      </c>
      <c r="I15" s="10" t="n">
        <v>0.74</v>
      </c>
      <c r="J15" s="10" t="n">
        <v>39.31</v>
      </c>
      <c r="K15" s="10" t="n"/>
      <c r="L15" s="6" t="n">
        <v>0.6457999999999999</v>
      </c>
      <c r="M15" s="6" t="n">
        <v>0.5417000000000001</v>
      </c>
      <c r="N15" s="4" t="n">
        <v>156</v>
      </c>
      <c r="O15" s="10" t="inlineStr">
        <is>
          <t>Trail (new)</t>
        </is>
      </c>
      <c r="P15" s="10" t="inlineStr">
        <is>
          <t>Closed</t>
        </is>
      </c>
    </row>
    <row r="16">
      <c r="A16" s="9" t="n">
        <v>46203</v>
      </c>
      <c r="B16" s="10" t="inlineStr">
        <is>
          <t>QQQ</t>
        </is>
      </c>
      <c r="C16" s="10" t="inlineStr">
        <is>
          <t>CALL</t>
        </is>
      </c>
      <c r="D16" s="10" t="inlineStr">
        <is>
          <t>06-30 13:14</t>
        </is>
      </c>
      <c r="E16" s="10" t="inlineStr"/>
      <c r="F16" s="10" t="n"/>
      <c r="G16" s="10" t="n">
        <v>13</v>
      </c>
      <c r="H16" s="10" t="n">
        <v>0.54</v>
      </c>
      <c r="I16" s="10" t="n"/>
      <c r="J16" s="10" t="n">
        <v>31.08</v>
      </c>
      <c r="K16" s="10" t="n"/>
      <c r="L16" s="6" t="n"/>
      <c r="M16" s="6" t="n"/>
      <c r="N16" s="4" t="n"/>
      <c r="O16" s="10" t="inlineStr"/>
      <c r="P16" s="10" t="inlineStr">
        <is>
          <t>Orphaned/manual</t>
        </is>
      </c>
    </row>
    <row r="17">
      <c r="A17" s="9" t="n">
        <v>46203</v>
      </c>
      <c r="B17" s="10" t="inlineStr">
        <is>
          <t>IWM</t>
        </is>
      </c>
      <c r="C17" s="10" t="inlineStr">
        <is>
          <t>CALL</t>
        </is>
      </c>
      <c r="D17" s="10" t="inlineStr">
        <is>
          <t>06-30 13:36</t>
        </is>
      </c>
      <c r="E17" s="10" t="inlineStr"/>
      <c r="F17" s="10" t="n"/>
      <c r="G17" s="10" t="n">
        <v>13</v>
      </c>
      <c r="H17" s="10" t="n">
        <v>0.24</v>
      </c>
      <c r="I17" s="10" t="n"/>
      <c r="J17" s="10" t="n">
        <v>26.58</v>
      </c>
      <c r="K17" s="10" t="n"/>
      <c r="L17" s="6" t="n"/>
      <c r="M17" s="6" t="n"/>
      <c r="N17" s="4" t="n"/>
      <c r="O17" s="10" t="inlineStr"/>
      <c r="P17" s="10" t="inlineStr">
        <is>
          <t>Orphaned/manual</t>
        </is>
      </c>
    </row>
    <row r="18">
      <c r="A18" s="9" t="n">
        <v>46204</v>
      </c>
      <c r="B18" s="10" t="inlineStr">
        <is>
          <t>IWM</t>
        </is>
      </c>
      <c r="C18" s="10" t="inlineStr">
        <is>
          <t>CALL</t>
        </is>
      </c>
      <c r="D18" s="10" t="inlineStr">
        <is>
          <t>07-01 10:02</t>
        </is>
      </c>
      <c r="E18" s="10" t="inlineStr">
        <is>
          <t>07-01 10:14</t>
        </is>
      </c>
      <c r="F18" s="10" t="n">
        <v>11</v>
      </c>
      <c r="G18" s="10" t="n">
        <v>10</v>
      </c>
      <c r="H18" s="10" t="n">
        <v>0.46</v>
      </c>
      <c r="I18" s="10" t="n">
        <v>0.6799999999999999</v>
      </c>
      <c r="J18" s="10" t="n">
        <v>26.56</v>
      </c>
      <c r="K18" s="10" t="n"/>
      <c r="L18" s="6" t="n">
        <v>0.5435</v>
      </c>
      <c r="M18" s="6" t="n">
        <v>0.4783</v>
      </c>
      <c r="N18" s="4" t="n">
        <v>132</v>
      </c>
      <c r="O18" s="10" t="inlineStr">
        <is>
          <t>Trail (new)</t>
        </is>
      </c>
      <c r="P18" s="10" t="inlineStr">
        <is>
          <t>Closed</t>
        </is>
      </c>
    </row>
    <row r="19">
      <c r="A19" s="9" t="n">
        <v>46204</v>
      </c>
      <c r="B19" s="10" t="inlineStr">
        <is>
          <t>SPY</t>
        </is>
      </c>
      <c r="C19" s="10" t="inlineStr">
        <is>
          <t>CALL</t>
        </is>
      </c>
      <c r="D19" s="10" t="inlineStr">
        <is>
          <t>07-01 10:08</t>
        </is>
      </c>
      <c r="E19" s="10" t="inlineStr">
        <is>
          <t>07-01 11:08</t>
        </is>
      </c>
      <c r="F19" s="10" t="n">
        <v>61</v>
      </c>
      <c r="G19" s="10" t="n">
        <v>10</v>
      </c>
      <c r="H19" s="10" t="n">
        <v>0.49</v>
      </c>
      <c r="I19" s="10" t="n">
        <v>0.7050000000000005</v>
      </c>
      <c r="J19" s="10" t="n">
        <v>25.34</v>
      </c>
      <c r="K19" s="10" t="n"/>
      <c r="L19" s="6" t="n">
        <v>0.5102</v>
      </c>
      <c r="M19" s="6" t="n">
        <v>0.4388</v>
      </c>
      <c r="N19" s="4" t="n">
        <v>129</v>
      </c>
      <c r="O19" s="10" t="inlineStr">
        <is>
          <t>Trail (new)</t>
        </is>
      </c>
      <c r="P19" s="10" t="inlineStr">
        <is>
          <t>Closed</t>
        </is>
      </c>
    </row>
    <row r="20">
      <c r="A20" s="9" t="n">
        <v>46204</v>
      </c>
      <c r="B20" s="10" t="inlineStr">
        <is>
          <t>QQQ</t>
        </is>
      </c>
      <c r="C20" s="10" t="inlineStr">
        <is>
          <t>CALL</t>
        </is>
      </c>
      <c r="D20" s="10" t="inlineStr">
        <is>
          <t>07-01 11:24</t>
        </is>
      </c>
      <c r="E20" s="10" t="inlineStr">
        <is>
          <t>07-01 12:57</t>
        </is>
      </c>
      <c r="F20" s="10" t="n">
        <v>93</v>
      </c>
      <c r="G20" s="10" t="n">
        <v>11</v>
      </c>
      <c r="H20" s="10" t="n">
        <v>0.52</v>
      </c>
      <c r="I20" s="10" t="n">
        <v>0.15</v>
      </c>
      <c r="J20" s="10" t="n">
        <v>25.48</v>
      </c>
      <c r="K20" s="10" t="n"/>
      <c r="L20" s="6" t="n"/>
      <c r="M20" s="6" t="n">
        <v>-0.7115</v>
      </c>
      <c r="N20" s="4" t="n">
        <v>-185</v>
      </c>
      <c r="O20" s="10" t="inlineStr">
        <is>
          <t>Hard Stop</t>
        </is>
      </c>
      <c r="P20" s="10" t="inlineStr">
        <is>
          <t>Closed</t>
        </is>
      </c>
    </row>
    <row r="21">
      <c r="A21" s="9" t="n">
        <v>46204</v>
      </c>
      <c r="B21" s="10" t="inlineStr">
        <is>
          <t>IWM</t>
        </is>
      </c>
      <c r="C21" s="10" t="inlineStr">
        <is>
          <t>CALL</t>
        </is>
      </c>
      <c r="D21" s="10" t="inlineStr">
        <is>
          <t>07-01 11:39</t>
        </is>
      </c>
      <c r="E21" s="10" t="inlineStr">
        <is>
          <t>07-01 13:34</t>
        </is>
      </c>
      <c r="F21" s="10" t="n">
        <v>115</v>
      </c>
      <c r="G21" s="10" t="n">
        <v>11</v>
      </c>
      <c r="H21" s="10" t="n">
        <v>0.43</v>
      </c>
      <c r="I21" s="10" t="n">
        <v>0.11</v>
      </c>
      <c r="J21" s="10" t="n">
        <v>25.72</v>
      </c>
      <c r="K21" s="10" t="n"/>
      <c r="L21" s="6" t="n"/>
      <c r="M21" s="6" t="n">
        <v>-0.7442</v>
      </c>
      <c r="N21" s="4" t="n">
        <v>-192</v>
      </c>
      <c r="O21" s="10" t="inlineStr">
        <is>
          <t>Hard Stop</t>
        </is>
      </c>
      <c r="P21" s="10" t="inlineStr">
        <is>
          <t>Closed</t>
        </is>
      </c>
    </row>
    <row r="22">
      <c r="A22" s="9" t="n">
        <v>46204</v>
      </c>
      <c r="B22" s="10" t="inlineStr">
        <is>
          <t>SPY</t>
        </is>
      </c>
      <c r="C22" s="10" t="inlineStr">
        <is>
          <t>CALL</t>
        </is>
      </c>
      <c r="D22" s="10" t="inlineStr">
        <is>
          <t>07-01 13:00</t>
        </is>
      </c>
      <c r="E22" s="10" t="inlineStr">
        <is>
          <t>07-01 14:55</t>
        </is>
      </c>
      <c r="F22" s="10" t="n">
        <v>115</v>
      </c>
      <c r="G22" s="10" t="n">
        <v>13</v>
      </c>
      <c r="H22" s="10" t="n">
        <v>0.38</v>
      </c>
      <c r="I22" s="10" t="n">
        <v>0.11</v>
      </c>
      <c r="J22" s="10" t="n">
        <v>29.73</v>
      </c>
      <c r="K22" s="10" t="n"/>
      <c r="L22" s="6" t="n"/>
      <c r="M22" s="6" t="n">
        <v>-0.7105</v>
      </c>
      <c r="N22" s="4" t="n">
        <v>-189</v>
      </c>
      <c r="O22" s="10" t="inlineStr">
        <is>
          <t>Hard Stop</t>
        </is>
      </c>
      <c r="P22" s="10" t="inlineStr">
        <is>
          <t>Closed</t>
        </is>
      </c>
    </row>
    <row r="23">
      <c r="A23" s="9" t="n">
        <v>46209</v>
      </c>
      <c r="B23" s="10" t="inlineStr">
        <is>
          <t>SPY</t>
        </is>
      </c>
      <c r="C23" s="10" t="inlineStr">
        <is>
          <t>CALL</t>
        </is>
      </c>
      <c r="D23" s="10" t="inlineStr">
        <is>
          <t>07-06 11:32</t>
        </is>
      </c>
      <c r="E23" s="10" t="inlineStr">
        <is>
          <t>07-06 11:54</t>
        </is>
      </c>
      <c r="F23" s="10" t="n">
        <v>22</v>
      </c>
      <c r="G23" s="10" t="n">
        <v>11</v>
      </c>
      <c r="H23" s="10" t="n">
        <v>0.4</v>
      </c>
      <c r="I23" s="10" t="n">
        <v>0.33</v>
      </c>
      <c r="J23" s="10" t="n">
        <v>25.6</v>
      </c>
      <c r="K23" s="10" t="n">
        <v>8.68</v>
      </c>
      <c r="L23" s="6" t="n">
        <v>0</v>
      </c>
      <c r="M23" s="6" t="n">
        <v>-0.175</v>
      </c>
      <c r="N23" s="4" t="n">
        <v>-49</v>
      </c>
      <c r="O23" s="10" t="inlineStr">
        <is>
          <t>Invalidation</t>
        </is>
      </c>
      <c r="P23" s="10" t="inlineStr">
        <is>
          <t>Closed</t>
        </is>
      </c>
    </row>
    <row r="24">
      <c r="A24" s="9" t="n">
        <v>46209</v>
      </c>
      <c r="B24" s="10" t="inlineStr">
        <is>
          <t>SPY</t>
        </is>
      </c>
      <c r="C24" s="10" t="inlineStr">
        <is>
          <t>CALL</t>
        </is>
      </c>
      <c r="D24" s="10" t="inlineStr">
        <is>
          <t>07-06 13:48</t>
        </is>
      </c>
      <c r="E24" s="10" t="inlineStr">
        <is>
          <t>07-06 13:56</t>
        </is>
      </c>
      <c r="F24" s="10" t="n">
        <v>8</v>
      </c>
      <c r="G24" s="10" t="n">
        <v>13</v>
      </c>
      <c r="H24" s="10" t="n">
        <v>0.51</v>
      </c>
      <c r="I24" s="10" t="n">
        <v>0.4299999999999999</v>
      </c>
      <c r="J24" s="10" t="n">
        <v>40.16</v>
      </c>
      <c r="K24" s="10" t="n">
        <v>5.13</v>
      </c>
      <c r="L24" s="6" t="n">
        <v>0.0588</v>
      </c>
      <c r="M24" s="6" t="n">
        <v>-0.1569</v>
      </c>
      <c r="N24" s="4" t="n">
        <v>-40</v>
      </c>
      <c r="O24" s="10" t="inlineStr">
        <is>
          <t>Invalidation</t>
        </is>
      </c>
      <c r="P24" s="10" t="inlineStr">
        <is>
          <t>Closed</t>
        </is>
      </c>
    </row>
    <row r="25">
      <c r="A25" s="9" t="n">
        <v>46209</v>
      </c>
      <c r="B25" s="10" t="inlineStr">
        <is>
          <t>SPY</t>
        </is>
      </c>
      <c r="C25" s="10" t="inlineStr">
        <is>
          <t>CALL</t>
        </is>
      </c>
      <c r="D25" s="10" t="inlineStr">
        <is>
          <t>07-06 14:19</t>
        </is>
      </c>
      <c r="E25" s="10" t="inlineStr">
        <is>
          <t>07-06 14:30</t>
        </is>
      </c>
      <c r="F25" s="10" t="n">
        <v>11</v>
      </c>
      <c r="G25" s="10" t="n">
        <v>14</v>
      </c>
      <c r="H25" s="10" t="n">
        <v>0.45</v>
      </c>
      <c r="I25" s="10" t="n">
        <v>0.47</v>
      </c>
      <c r="J25" s="10" t="n">
        <v>30.67</v>
      </c>
      <c r="K25" s="10" t="n">
        <v>2.76</v>
      </c>
      <c r="L25" s="6" t="n">
        <v>0.1778</v>
      </c>
      <c r="M25" s="6" t="n">
        <v>0.0444</v>
      </c>
      <c r="N25" s="4" t="n">
        <v>12</v>
      </c>
      <c r="O25" s="10" t="inlineStr">
        <is>
          <t>Invalidation</t>
        </is>
      </c>
      <c r="P25" s="10" t="inlineStr">
        <is>
          <t>Closed</t>
        </is>
      </c>
    </row>
    <row r="26">
      <c r="A26" s="9" t="n">
        <v>46209</v>
      </c>
      <c r="B26" s="10" t="inlineStr">
        <is>
          <t>SPY</t>
        </is>
      </c>
      <c r="C26" s="10" t="inlineStr">
        <is>
          <t>CALL</t>
        </is>
      </c>
      <c r="D26" s="10" t="inlineStr">
        <is>
          <t>07-06 15:00</t>
        </is>
      </c>
      <c r="E26" s="10" t="inlineStr">
        <is>
          <t>07-06 15:09</t>
        </is>
      </c>
      <c r="F26" s="10" t="n">
        <v>10</v>
      </c>
      <c r="G26" s="10" t="n">
        <v>15</v>
      </c>
      <c r="H26" s="10" t="n">
        <v>0.31</v>
      </c>
      <c r="I26" s="10" t="n">
        <v>0.25</v>
      </c>
      <c r="J26" s="10" t="n">
        <v>25.99</v>
      </c>
      <c r="K26" s="10" t="n">
        <v>10.01</v>
      </c>
      <c r="L26" s="6" t="n">
        <v>0.0645</v>
      </c>
      <c r="M26" s="6" t="n">
        <v>-0.1935</v>
      </c>
      <c r="N26" s="4" t="n">
        <v>-54</v>
      </c>
      <c r="O26" s="10" t="inlineStr">
        <is>
          <t>Invalidation</t>
        </is>
      </c>
      <c r="P26" s="10" t="inlineStr">
        <is>
          <t>Closed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8" customWidth="1" min="4" max="4"/>
    <col width="7" customWidth="1" min="5" max="5"/>
    <col width="8" customWidth="1" min="6" max="6"/>
  </cols>
  <sheetData>
    <row r="1">
      <c r="A1" s="8" t="inlineStr">
        <is>
          <t>Date</t>
        </is>
      </c>
      <c r="B1" s="8" t="inlineStr">
        <is>
          <t>Net P&amp;L $</t>
        </is>
      </c>
      <c r="C1" s="8" t="inlineStr">
        <is>
          <t>Cumulative $</t>
        </is>
      </c>
      <c r="D1" s="8" t="inlineStr">
        <is>
          <t>Trades</t>
        </is>
      </c>
      <c r="E1" s="8" t="inlineStr">
        <is>
          <t>Wins</t>
        </is>
      </c>
      <c r="F1" s="8" t="inlineStr">
        <is>
          <t>Losses</t>
        </is>
      </c>
    </row>
    <row r="2">
      <c r="A2" t="inlineStr">
        <is>
          <t>05/05</t>
        </is>
      </c>
      <c r="B2" s="11">
        <f>SUMPRODUCT((TEXT(Trades!$A$2:$A$26,"yyyy-mm-dd")="2026-05-05")*Trades!$N$2:$N$26)</f>
        <v/>
      </c>
      <c r="C2" s="11">
        <f>SUM($B$2:B2)</f>
        <v/>
      </c>
      <c r="D2">
        <f>SUMPRODUCT((TEXT(Trades!$A$2:$A$26,"yyyy-mm-dd")="2026-05-05")*(Trades!$P$2:$P$26="Closed")*1)</f>
        <v/>
      </c>
      <c r="E2">
        <f>SUMPRODUCT((TEXT(Trades!$A$2:$A$26,"yyyy-mm-dd")="2026-05-05")*(Trades!$N$2:$N$26&gt;0)*1)</f>
        <v/>
      </c>
      <c r="F2">
        <f>D2-E2</f>
        <v/>
      </c>
    </row>
    <row r="3">
      <c r="A3" t="inlineStr">
        <is>
          <t>05/15</t>
        </is>
      </c>
      <c r="B3" s="11">
        <f>SUMPRODUCT((TEXT(Trades!$A$2:$A$26,"yyyy-mm-dd")="2026-05-15")*Trades!$N$2:$N$26)</f>
        <v/>
      </c>
      <c r="C3" s="11">
        <f>SUM($B$2:B3)</f>
        <v/>
      </c>
      <c r="D3">
        <f>SUMPRODUCT((TEXT(Trades!$A$2:$A$26,"yyyy-mm-dd")="2026-05-15")*(Trades!$P$2:$P$26="Closed")*1)</f>
        <v/>
      </c>
      <c r="E3">
        <f>SUMPRODUCT((TEXT(Trades!$A$2:$A$26,"yyyy-mm-dd")="2026-05-15")*(Trades!$N$2:$N$26&gt;0)*1)</f>
        <v/>
      </c>
      <c r="F3">
        <f>D3-E3</f>
        <v/>
      </c>
    </row>
    <row r="4">
      <c r="A4" t="inlineStr">
        <is>
          <t>06/29</t>
        </is>
      </c>
      <c r="B4" s="11">
        <f>SUMPRODUCT((TEXT(Trades!$A$2:$A$26,"yyyy-mm-dd")="2026-06-29")*Trades!$N$2:$N$26)</f>
        <v/>
      </c>
      <c r="C4" s="11">
        <f>SUM($B$2:B4)</f>
        <v/>
      </c>
      <c r="D4">
        <f>SUMPRODUCT((TEXT(Trades!$A$2:$A$26,"yyyy-mm-dd")="2026-06-29")*(Trades!$P$2:$P$26="Closed")*1)</f>
        <v/>
      </c>
      <c r="E4">
        <f>SUMPRODUCT((TEXT(Trades!$A$2:$A$26,"yyyy-mm-dd")="2026-06-29")*(Trades!$N$2:$N$26&gt;0)*1)</f>
        <v/>
      </c>
      <c r="F4">
        <f>D4-E4</f>
        <v/>
      </c>
    </row>
    <row r="5">
      <c r="A5" t="inlineStr">
        <is>
          <t>06/30</t>
        </is>
      </c>
      <c r="B5" s="11">
        <f>SUMPRODUCT((TEXT(Trades!$A$2:$A$26,"yyyy-mm-dd")="2026-06-30")*Trades!$N$2:$N$26)</f>
        <v/>
      </c>
      <c r="C5" s="11">
        <f>SUM($B$2:B5)</f>
        <v/>
      </c>
      <c r="D5">
        <f>SUMPRODUCT((TEXT(Trades!$A$2:$A$26,"yyyy-mm-dd")="2026-06-30")*(Trades!$P$2:$P$26="Closed")*1)</f>
        <v/>
      </c>
      <c r="E5">
        <f>SUMPRODUCT((TEXT(Trades!$A$2:$A$26,"yyyy-mm-dd")="2026-06-30")*(Trades!$N$2:$N$26&gt;0)*1)</f>
        <v/>
      </c>
      <c r="F5">
        <f>D5-E5</f>
        <v/>
      </c>
    </row>
    <row r="6">
      <c r="A6" t="inlineStr">
        <is>
          <t>07/01</t>
        </is>
      </c>
      <c r="B6" s="11">
        <f>SUMPRODUCT((TEXT(Trades!$A$2:$A$26,"yyyy-mm-dd")="2026-07-01")*Trades!$N$2:$N$26)</f>
        <v/>
      </c>
      <c r="C6" s="11">
        <f>SUM($B$2:B6)</f>
        <v/>
      </c>
      <c r="D6">
        <f>SUMPRODUCT((TEXT(Trades!$A$2:$A$26,"yyyy-mm-dd")="2026-07-01")*(Trades!$P$2:$P$26="Closed")*1)</f>
        <v/>
      </c>
      <c r="E6">
        <f>SUMPRODUCT((TEXT(Trades!$A$2:$A$26,"yyyy-mm-dd")="2026-07-01")*(Trades!$N$2:$N$26&gt;0)*1)</f>
        <v/>
      </c>
      <c r="F6">
        <f>D6-E6</f>
        <v/>
      </c>
    </row>
    <row r="7">
      <c r="A7" t="inlineStr">
        <is>
          <t>07/06</t>
        </is>
      </c>
      <c r="B7" s="11">
        <f>SUMPRODUCT((TEXT(Trades!$A$2:$A$26,"yyyy-mm-dd")="2026-07-06")*Trades!$N$2:$N$26)</f>
        <v/>
      </c>
      <c r="C7" s="11">
        <f>SUM($B$2:B7)</f>
        <v/>
      </c>
      <c r="D7">
        <f>SUMPRODUCT((TEXT(Trades!$A$2:$A$26,"yyyy-mm-dd")="2026-07-06")*(Trades!$P$2:$P$26="Closed")*1)</f>
        <v/>
      </c>
      <c r="E7">
        <f>SUMPRODUCT((TEXT(Trades!$A$2:$A$26,"yyyy-mm-dd")="2026-07-06")*(Trades!$N$2:$N$26&gt;0)*1)</f>
        <v/>
      </c>
      <c r="F7">
        <f>D7-E7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0" customWidth="1" min="4" max="4"/>
  </cols>
  <sheetData>
    <row r="1">
      <c r="A1" s="12" t="inlineStr">
        <is>
          <t>By Symbol</t>
        </is>
      </c>
    </row>
    <row r="2">
      <c r="A2" s="8" t="inlineStr">
        <is>
          <t>Symbol</t>
        </is>
      </c>
      <c r="B2" s="8" t="inlineStr">
        <is>
          <t>P&amp;L $</t>
        </is>
      </c>
      <c r="C2" s="8" t="inlineStr">
        <is>
          <t>Trades</t>
        </is>
      </c>
      <c r="D2" s="8" t="inlineStr">
        <is>
          <t>Win rate</t>
        </is>
      </c>
    </row>
    <row r="3">
      <c r="A3" t="inlineStr">
        <is>
          <t>IWM</t>
        </is>
      </c>
      <c r="B3" s="11">
        <f>SUMIFS(Trades!$N$2:$N$26,Trades!$B$2:$B$26,A3)</f>
        <v/>
      </c>
      <c r="C3">
        <f>COUNTIFS(Trades!$B$2:$B$26,A3,Trades!$P$2:$P$26,"Closed")</f>
        <v/>
      </c>
      <c r="D3" s="13">
        <f>IF(C3=0,0,COUNTIFS(Trades!$B$2:$B$26,A3,Trades!$N$2:$N$26,"&gt;0")/C3)</f>
        <v/>
      </c>
    </row>
    <row r="4">
      <c r="A4" t="inlineStr">
        <is>
          <t>QQQ</t>
        </is>
      </c>
      <c r="B4" s="11">
        <f>SUMIFS(Trades!$N$2:$N$26,Trades!$B$2:$B$26,A4)</f>
        <v/>
      </c>
      <c r="C4">
        <f>COUNTIFS(Trades!$B$2:$B$26,A4,Trades!$P$2:$P$26,"Closed")</f>
        <v/>
      </c>
      <c r="D4" s="13">
        <f>IF(C4=0,0,COUNTIFS(Trades!$B$2:$B$26,A4,Trades!$N$2:$N$26,"&gt;0")/C4)</f>
        <v/>
      </c>
    </row>
    <row r="5">
      <c r="A5" t="inlineStr">
        <is>
          <t>SPY</t>
        </is>
      </c>
      <c r="B5" s="11">
        <f>SUMIFS(Trades!$N$2:$N$26,Trades!$B$2:$B$26,A5)</f>
        <v/>
      </c>
      <c r="C5">
        <f>COUNTIFS(Trades!$B$2:$B$26,A5,Trades!$P$2:$P$26,"Closed")</f>
        <v/>
      </c>
      <c r="D5" s="13">
        <f>IF(C5=0,0,COUNTIFS(Trades!$B$2:$B$26,A5,Trades!$N$2:$N$26,"&gt;0")/C5)</f>
        <v/>
      </c>
    </row>
    <row r="8">
      <c r="A8" s="12" t="inlineStr">
        <is>
          <t>By Exit Rule</t>
        </is>
      </c>
    </row>
    <row r="9">
      <c r="A9" s="8" t="inlineStr">
        <is>
          <t>Exit Rule</t>
        </is>
      </c>
      <c r="B9" s="8" t="inlineStr">
        <is>
          <t>P&amp;L $</t>
        </is>
      </c>
      <c r="C9" s="8" t="inlineStr">
        <is>
          <t>Count</t>
        </is>
      </c>
      <c r="D9" s="8" t="inlineStr">
        <is>
          <t>Avg P&amp;L $</t>
        </is>
      </c>
    </row>
    <row r="10">
      <c r="A10" t="inlineStr">
        <is>
          <t>Invalidation</t>
        </is>
      </c>
      <c r="B10" s="11">
        <f>SUMIFS(Trades!$N$2:$N$26,Trades!$O$2:$O$26,A10)</f>
        <v/>
      </c>
      <c r="C10">
        <f>COUNTIF(Trades!$O$2:$O$26,A10)</f>
        <v/>
      </c>
      <c r="D10" s="11">
        <f>IF(C10=0,0,B10/C10)</f>
        <v/>
      </c>
    </row>
    <row r="11">
      <c r="A11" t="inlineStr">
        <is>
          <t>Hard Stop</t>
        </is>
      </c>
      <c r="B11" s="11">
        <f>SUMIFS(Trades!$N$2:$N$26,Trades!$O$2:$O$26,A11)</f>
        <v/>
      </c>
      <c r="C11">
        <f>COUNTIF(Trades!$O$2:$O$26,A11)</f>
        <v/>
      </c>
      <c r="D11" s="11">
        <f>IF(C11=0,0,B11/C11)</f>
        <v/>
      </c>
    </row>
    <row r="12">
      <c r="A12" t="inlineStr">
        <is>
          <t>Trail (new)</t>
        </is>
      </c>
      <c r="B12" s="11">
        <f>SUMIFS(Trades!$N$2:$N$26,Trades!$O$2:$O$26,A12)</f>
        <v/>
      </c>
      <c r="C12">
        <f>COUNTIF(Trades!$O$2:$O$26,A12)</f>
        <v/>
      </c>
      <c r="D12" s="11">
        <f>IF(C12=0,0,B12/C12)</f>
        <v/>
      </c>
    </row>
    <row r="13">
      <c r="A13" t="inlineStr">
        <is>
          <t>Old rule (removed)</t>
        </is>
      </c>
      <c r="B13" s="11">
        <f>SUMIFS(Trades!$N$2:$N$26,Trades!$O$2:$O$26,A13)</f>
        <v/>
      </c>
      <c r="C13">
        <f>COUNTIF(Trades!$O$2:$O$26,A13)</f>
        <v/>
      </c>
      <c r="D13" s="11">
        <f>IF(C13=0,0,B13/C13)</f>
        <v/>
      </c>
    </row>
    <row r="16">
      <c r="A16" s="12" t="inlineStr">
        <is>
          <t>By Entry Hour (ET)</t>
        </is>
      </c>
    </row>
    <row r="17">
      <c r="A17" s="8" t="inlineStr">
        <is>
          <t>Hour</t>
        </is>
      </c>
      <c r="B17" s="8" t="inlineStr">
        <is>
          <t>P&amp;L $</t>
        </is>
      </c>
      <c r="C17" s="8" t="inlineStr">
        <is>
          <t>Trades</t>
        </is>
      </c>
    </row>
    <row r="18">
      <c r="A18" t="inlineStr">
        <is>
          <t>9:00</t>
        </is>
      </c>
      <c r="B18" s="11">
        <f>SUMIFS(Trades!$N$2:$N$26,Trades!$G$2:$G$26,9)</f>
        <v/>
      </c>
      <c r="C18">
        <f>COUNTIFS(Trades!$G$2:$G$26,9,Trades!$P$2:$P$26,"Closed")</f>
        <v/>
      </c>
    </row>
    <row r="19">
      <c r="A19" t="inlineStr">
        <is>
          <t>10:00</t>
        </is>
      </c>
      <c r="B19" s="11">
        <f>SUMIFS(Trades!$N$2:$N$26,Trades!$G$2:$G$26,10)</f>
        <v/>
      </c>
      <c r="C19">
        <f>COUNTIFS(Trades!$G$2:$G$26,10,Trades!$P$2:$P$26,"Closed")</f>
        <v/>
      </c>
    </row>
    <row r="20">
      <c r="A20" t="inlineStr">
        <is>
          <t>11:00</t>
        </is>
      </c>
      <c r="B20" s="11">
        <f>SUMIFS(Trades!$N$2:$N$26,Trades!$G$2:$G$26,11)</f>
        <v/>
      </c>
      <c r="C20">
        <f>COUNTIFS(Trades!$G$2:$G$26,11,Trades!$P$2:$P$26,"Closed")</f>
        <v/>
      </c>
    </row>
    <row r="21">
      <c r="A21" t="inlineStr">
        <is>
          <t>12:00</t>
        </is>
      </c>
      <c r="B21" s="11">
        <f>SUMIFS(Trades!$N$2:$N$26,Trades!$G$2:$G$26,12)</f>
        <v/>
      </c>
      <c r="C21">
        <f>COUNTIFS(Trades!$G$2:$G$26,12,Trades!$P$2:$P$26,"Closed")</f>
        <v/>
      </c>
    </row>
    <row r="22">
      <c r="A22" t="inlineStr">
        <is>
          <t>13:00</t>
        </is>
      </c>
      <c r="B22" s="11">
        <f>SUMIFS(Trades!$N$2:$N$26,Trades!$G$2:$G$26,13)</f>
        <v/>
      </c>
      <c r="C22">
        <f>COUNTIFS(Trades!$G$2:$G$26,13,Trades!$P$2:$P$26,"Closed")</f>
        <v/>
      </c>
    </row>
    <row r="23">
      <c r="A23" t="inlineStr">
        <is>
          <t>14:00</t>
        </is>
      </c>
      <c r="B23" s="11">
        <f>SUMIFS(Trades!$N$2:$N$26,Trades!$G$2:$G$26,14)</f>
        <v/>
      </c>
      <c r="C23">
        <f>COUNTIFS(Trades!$G$2:$G$26,14,Trades!$P$2:$P$26,"Closed")</f>
        <v/>
      </c>
    </row>
    <row r="24">
      <c r="A24" t="inlineStr">
        <is>
          <t>15:00</t>
        </is>
      </c>
      <c r="B24" s="11">
        <f>SUMIFS(Trades!$N$2:$N$26,Trades!$G$2:$G$26,15)</f>
        <v/>
      </c>
      <c r="C24">
        <f>COUNTIFS(Trades!$G$2:$G$26,15,Trades!$P$2:$P$26,"Closed")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2026-07-06T22:52:39Z</dcterms:created>
  <dcterms:modified xsi:type="dcterms:W3CDTF">2026-07-06T22:52:39Z</dcterms:modified>
</cp:coreProperties>
</file>