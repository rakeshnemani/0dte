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</f>
            </numRef>
          </cat>
          <val>
            <numRef>
              <f>'Daily'!$C$1:$B$1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</f>
            </numRef>
          </cat>
          <val>
            <numRef>
              <f>'Daily'!$D$1:$C$1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2026-08-17 15:00 — refresh: python scripts/build_dashboard.py</t>
        </is>
      </c>
    </row>
    <row r="4">
      <c r="A4" s="3" t="inlineStr">
        <is>
          <t>Total P&amp;L $</t>
        </is>
      </c>
      <c r="B4" s="4">
        <f>SUM(Trades!$N$2:$N$2)</f>
        <v/>
      </c>
    </row>
    <row r="5">
      <c r="A5" s="3" t="inlineStr">
        <is>
          <t>Closed trades</t>
        </is>
      </c>
      <c r="B5" s="5">
        <f>COUNTIF(Trades!$P$2:$P$2,"Closed")</f>
        <v/>
      </c>
    </row>
    <row r="6">
      <c r="A6" s="3" t="inlineStr">
        <is>
          <t>Win rate</t>
        </is>
      </c>
      <c r="B6" s="6">
        <f>COUNTIF(Trades!$N$2:$N$2,"&gt;0")/B5</f>
        <v/>
      </c>
    </row>
    <row r="7">
      <c r="A7" s="3" t="inlineStr">
        <is>
          <t>Avg win $</t>
        </is>
      </c>
      <c r="B7" s="4">
        <f>AVERAGEIF(Trades!$N$2:$N$2,"&gt;0")</f>
        <v/>
      </c>
    </row>
    <row r="8">
      <c r="A8" s="3" t="inlineStr">
        <is>
          <t>Avg loss $</t>
        </is>
      </c>
      <c r="B8" s="4">
        <f>IF(COUNTIF(Trades!$N$2:$N$2,"&lt;0")=0,0,AVERAGEIF(Trades!$N$2:$N$2,"&lt;0"))</f>
        <v/>
      </c>
    </row>
    <row r="9">
      <c r="A9" s="3" t="inlineStr">
        <is>
          <t>Profit factor</t>
        </is>
      </c>
      <c r="B9" s="7">
        <f>IF(SUMIF(Trades!$N$2:$N$2,"&lt;0")=0,0,-SUMIF(Trades!$N$2:$N$2,"&gt;0")/SUMIF(Trades!$N$2:$N$2,"&lt;0"))</f>
        <v/>
      </c>
    </row>
    <row r="10">
      <c r="A10" s="3" t="inlineStr">
        <is>
          <t>Best day $</t>
        </is>
      </c>
      <c r="B10" s="4">
        <f>MAX(Daily!$B$2:$B$1)</f>
        <v/>
      </c>
    </row>
    <row r="11">
      <c r="A11" s="3" t="inlineStr">
        <is>
          <t>Worst day $</t>
        </is>
      </c>
      <c r="B11" s="4">
        <f>MIN(Daily!$B$2:$B$1)</f>
        <v/>
      </c>
    </row>
    <row r="12">
      <c r="A12" s="3" t="inlineStr">
        <is>
          <t>Commissions $</t>
        </is>
      </c>
      <c r="B12" s="4">
        <f>SUM(Trades!$R$2:$R$2)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/>
      <c r="F2" s="10" t="n"/>
      <c r="G2" s="10" t="n">
        <v>10</v>
      </c>
      <c r="H2" s="10" t="n">
        <v>8.6</v>
      </c>
      <c r="I2" s="10" t="n"/>
      <c r="J2" s="10" t="n"/>
      <c r="K2" s="10" t="n"/>
      <c r="L2" s="6" t="n"/>
      <c r="M2" s="6" t="n"/>
      <c r="N2" s="4" t="n"/>
      <c r="O2" s="10" t="inlineStr"/>
      <c r="P2" s="10" t="inlineStr">
        <is>
          <t>Orphaned/manual</t>
        </is>
      </c>
      <c r="Q2" s="10" t="inlineStr"/>
      <c r="R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1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2">
        <f>SUMIFS(Trades!$N$2:$N$2,Trades!$B$2:$B$2,A3)</f>
        <v/>
      </c>
      <c r="C3">
        <f>COUNTIFS(Trades!$B$2:$B$2,A3,Trades!$P$2:$P$2,"Closed")</f>
        <v/>
      </c>
      <c r="D3" s="13">
        <f>IF(C3=0,0,COUNTIFS(Trades!$B$2:$B$2,A3,Trades!$N$2:$N$2,"&gt;0")/C3)</f>
        <v/>
      </c>
    </row>
    <row r="6">
      <c r="A6" s="11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2">
        <f>SUMIFS(Trades!$N$2:$N$2,Trades!$O$2:$O$2,A8)</f>
        <v/>
      </c>
      <c r="C8">
        <f>COUNTIF(Trades!$O$2:$O$2,A8)</f>
        <v/>
      </c>
      <c r="D8" s="12">
        <f>IF(C8=0,0,B8/C8)</f>
        <v/>
      </c>
    </row>
    <row r="9">
      <c r="A9" t="inlineStr">
        <is>
          <t>Hard Stop</t>
        </is>
      </c>
      <c r="B9" s="12">
        <f>SUMIFS(Trades!$N$2:$N$2,Trades!$O$2:$O$2,A9)</f>
        <v/>
      </c>
      <c r="C9">
        <f>COUNTIF(Trades!$O$2:$O$2,A9)</f>
        <v/>
      </c>
      <c r="D9" s="12">
        <f>IF(C9=0,0,B9/C9)</f>
        <v/>
      </c>
    </row>
    <row r="10">
      <c r="A10" t="inlineStr">
        <is>
          <t>Trail (new)</t>
        </is>
      </c>
      <c r="B10" s="12">
        <f>SUMIFS(Trades!$N$2:$N$2,Trades!$O$2:$O$2,A10)</f>
        <v/>
      </c>
      <c r="C10">
        <f>COUNTIF(Trades!$O$2:$O$2,A10)</f>
        <v/>
      </c>
      <c r="D10" s="12">
        <f>IF(C10=0,0,B10/C10)</f>
        <v/>
      </c>
    </row>
    <row r="11">
      <c r="A11" t="inlineStr">
        <is>
          <t>Old rule (removed)</t>
        </is>
      </c>
      <c r="B11" s="12">
        <f>SUMIFS(Trades!$N$2:$N$2,Trades!$O$2:$O$2,A11)</f>
        <v/>
      </c>
      <c r="C11">
        <f>COUNTIF(Trades!$O$2:$O$2,A11)</f>
        <v/>
      </c>
      <c r="D11" s="12">
        <f>IF(C11=0,0,B11/C11)</f>
        <v/>
      </c>
    </row>
    <row r="14">
      <c r="A14" s="11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2">
        <f>SUMIFS(Trades!$N$2:$N$2,Trades!$G$2:$G$2,9)</f>
        <v/>
      </c>
      <c r="C16">
        <f>COUNTIFS(Trades!$G$2:$G$2,9,Trades!$P$2:$P$2,"Closed")</f>
        <v/>
      </c>
    </row>
    <row r="17">
      <c r="A17" t="inlineStr">
        <is>
          <t>10:00</t>
        </is>
      </c>
      <c r="B17" s="12">
        <f>SUMIFS(Trades!$N$2:$N$2,Trades!$G$2:$G$2,10)</f>
        <v/>
      </c>
      <c r="C17">
        <f>COUNTIFS(Trades!$G$2:$G$2,10,Trades!$P$2:$P$2,"Closed")</f>
        <v/>
      </c>
    </row>
    <row r="18">
      <c r="A18" t="inlineStr">
        <is>
          <t>11:00</t>
        </is>
      </c>
      <c r="B18" s="12">
        <f>SUMIFS(Trades!$N$2:$N$2,Trades!$G$2:$G$2,11)</f>
        <v/>
      </c>
      <c r="C18">
        <f>COUNTIFS(Trades!$G$2:$G$2,11,Trades!$P$2:$P$2,"Closed")</f>
        <v/>
      </c>
    </row>
    <row r="19">
      <c r="A19" t="inlineStr">
        <is>
          <t>12:00</t>
        </is>
      </c>
      <c r="B19" s="12">
        <f>SUMIFS(Trades!$N$2:$N$2,Trades!$G$2:$G$2,12)</f>
        <v/>
      </c>
      <c r="C19">
        <f>COUNTIFS(Trades!$G$2:$G$2,12,Trades!$P$2:$P$2,"Closed")</f>
        <v/>
      </c>
    </row>
    <row r="20">
      <c r="A20" t="inlineStr">
        <is>
          <t>13:00</t>
        </is>
      </c>
      <c r="B20" s="12">
        <f>SUMIFS(Trades!$N$2:$N$2,Trades!$G$2:$G$2,13)</f>
        <v/>
      </c>
      <c r="C20">
        <f>COUNTIFS(Trades!$G$2:$G$2,13,Trades!$P$2:$P$2,"Closed")</f>
        <v/>
      </c>
    </row>
    <row r="21">
      <c r="A21" t="inlineStr">
        <is>
          <t>14:00</t>
        </is>
      </c>
      <c r="B21" s="12">
        <f>SUMIFS(Trades!$N$2:$N$2,Trades!$G$2:$G$2,14)</f>
        <v/>
      </c>
      <c r="C21">
        <f>COUNTIFS(Trades!$G$2:$G$2,14,Trades!$P$2:$P$2,"Closed")</f>
        <v/>
      </c>
    </row>
    <row r="22">
      <c r="A22" t="inlineStr">
        <is>
          <t>15:00</t>
        </is>
      </c>
      <c r="B22" s="12">
        <f>SUMIFS(Trades!$N$2:$N$2,Trades!$G$2:$G$2,15)</f>
        <v/>
      </c>
      <c r="C22">
        <f>COUNTIFS(Trades!$G$2:$G$2,15,Trades!$P$2:$P$2,"Closed")</f>
        <v/>
      </c>
    </row>
    <row r="25">
      <c r="A25" s="11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2">
        <f>SUMIFS(Trades!$N$2:$N$2,Trades!$Q$2:$Q$2,A27&amp;" *")</f>
        <v/>
      </c>
      <c r="C27">
        <f>COUNTIFS(Trades!$Q$2:$Q$2,A27&amp;" *",Trades!$P$2:$P$2,"Closed")</f>
        <v/>
      </c>
      <c r="D27" s="13">
        <f>IF(C27=0,0,COUNTIFS(Trades!$Q$2:$Q$2,A27&amp;" *",Trades!$N$2:$N$2,"&gt;0")/C27)</f>
        <v/>
      </c>
    </row>
    <row r="28">
      <c r="A28" t="inlineStr">
        <is>
          <t>MEDIUM</t>
        </is>
      </c>
      <c r="B28" s="12">
        <f>SUMIFS(Trades!$N$2:$N$2,Trades!$Q$2:$Q$2,A28&amp;" *")</f>
        <v/>
      </c>
      <c r="C28">
        <f>COUNTIFS(Trades!$Q$2:$Q$2,A28&amp;" *",Trades!$P$2:$P$2,"Closed")</f>
        <v/>
      </c>
      <c r="D28" s="13">
        <f>IF(C28=0,0,COUNTIFS(Trades!$Q$2:$Q$2,A28&amp;" *",Trades!$N$2:$N$2,"&gt;0")/C28)</f>
        <v/>
      </c>
    </row>
    <row r="29">
      <c r="A29" t="inlineStr">
        <is>
          <t>HIGH</t>
        </is>
      </c>
      <c r="B29" s="12">
        <f>SUMIFS(Trades!$N$2:$N$2,Trades!$Q$2:$Q$2,A29&amp;" *")</f>
        <v/>
      </c>
      <c r="C29">
        <f>COUNTIFS(Trades!$Q$2:$Q$2,A29&amp;" *",Trades!$P$2:$P$2,"Closed")</f>
        <v/>
      </c>
      <c r="D29" s="13">
        <f>IF(C29=0,0,COUNTIFS(Trades!$Q$2:$Q$2,A29&amp;" *",Trades!$N$2:$N$2,"&gt;0")/C29)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2026-08-17T20:00:06Z</dcterms:created>
  <dcterms:modified xsi:type="dcterms:W3CDTF">2026-08-17T20:00:06Z</dcterms:modified>
</cp:coreProperties>
</file>