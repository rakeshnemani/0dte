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'Daily'!$A$2:$A$18</f>
            </numRef>
          </cat>
          <val>
            <numRef>
              <f>'Daily'!$B$2:$B$18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'Daily'!$A$2:$A$18</f>
            </numRef>
          </cat>
          <val>
            <numRef>
              <f>'Daily'!$C$2:$C$18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'Analysis'!$A$3:$A$7</f>
            </numRef>
          </cat>
          <val>
            <numRef>
              <f>'Analysis'!$B$3:$B$7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'Analysis'!B11</f>
            </strRef>
          </tx>
          <spPr>
            <a:ln>
              <a:prstDash val="solid"/>
            </a:ln>
          </spPr>
          <cat>
            <numRef>
              <f>'Analysis'!$A$12:$A$15</f>
            </numRef>
          </cat>
          <val>
            <numRef>
              <f>'Analysis'!$B$12:$B$15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'Analysis'!B19</f>
            </strRef>
          </tx>
          <spPr>
            <a:ln>
              <a:prstDash val="solid"/>
            </a:ln>
          </spPr>
          <cat>
            <numRef>
              <f>'Analysis'!$A$20:$A$26</f>
            </numRef>
          </cat>
          <val>
            <numRef>
              <f>'Analysis'!$B$20:$B$26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'Analysis'!B30</f>
            </strRef>
          </tx>
          <spPr>
            <a:ln>
              <a:prstDash val="solid"/>
            </a:ln>
          </spPr>
          <cat>
            <numRef>
              <f>'Analysis'!$A$31:$A$33</f>
            </numRef>
          </cat>
          <val>
            <numRef>
              <f>'Analysis'!$B$31:$B$33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2026-08-04 15:00 — refresh: python scripts/build_dashboard.py</t>
        </is>
      </c>
    </row>
    <row r="4">
      <c r="A4" s="3" t="inlineStr">
        <is>
          <t>Total P&amp;L $</t>
        </is>
      </c>
      <c r="B4" s="4">
        <f>SUM(Trades!$N$2:$N$55)</f>
        <v/>
      </c>
    </row>
    <row r="5">
      <c r="A5" s="3" t="inlineStr">
        <is>
          <t>Closed trades</t>
        </is>
      </c>
      <c r="B5" s="5">
        <f>COUNTIF(Trades!$P$2:$P$55,"Closed")</f>
        <v/>
      </c>
    </row>
    <row r="6">
      <c r="A6" s="3" t="inlineStr">
        <is>
          <t>Win rate</t>
        </is>
      </c>
      <c r="B6" s="6">
        <f>COUNTIF(Trades!$N$2:$N$55,"&gt;0")/B5</f>
        <v/>
      </c>
    </row>
    <row r="7">
      <c r="A7" s="3" t="inlineStr">
        <is>
          <t>Avg win $</t>
        </is>
      </c>
      <c r="B7" s="4">
        <f>AVERAGEIF(Trades!$N$2:$N$55,"&gt;0")</f>
        <v/>
      </c>
    </row>
    <row r="8">
      <c r="A8" s="3" t="inlineStr">
        <is>
          <t>Avg loss $</t>
        </is>
      </c>
      <c r="B8" s="4">
        <f>IF(COUNTIF(Trades!$N$2:$N$55,"&lt;0")=0,0,AVERAGEIF(Trades!$N$2:$N$55,"&lt;0"))</f>
        <v/>
      </c>
    </row>
    <row r="9">
      <c r="A9" s="3" t="inlineStr">
        <is>
          <t>Profit factor</t>
        </is>
      </c>
      <c r="B9" s="7">
        <f>IF(SUMIF(Trades!$N$2:$N$55,"&lt;0")=0,0,-SUMIF(Trades!$N$2:$N$55,"&gt;0")/SUMIF(Trades!$N$2:$N$55,"&lt;0"))</f>
        <v/>
      </c>
    </row>
    <row r="10">
      <c r="A10" s="3" t="inlineStr">
        <is>
          <t>Best day $</t>
        </is>
      </c>
      <c r="B10" s="4">
        <f>MAX(Daily!$B$2:$B$18)</f>
        <v/>
      </c>
    </row>
    <row r="11">
      <c r="A11" s="3" t="inlineStr">
        <is>
          <t>Worst day $</t>
        </is>
      </c>
      <c r="B11" s="4">
        <f>MIN(Daily!$B$2:$B$18)</f>
        <v/>
      </c>
    </row>
    <row r="12">
      <c r="A12" s="3" t="inlineStr">
        <is>
          <t>Commissions $</t>
        </is>
      </c>
      <c r="B12" s="4">
        <f>SUM(Trades!$R$2:$R$55)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  <row r="51">
      <c r="A51" s="9" t="n">
        <v>46218</v>
      </c>
      <c r="B51" s="10" t="inlineStr">
        <is>
          <t>XSP</t>
        </is>
      </c>
      <c r="C51" s="10" t="inlineStr">
        <is>
          <t>PUT</t>
        </is>
      </c>
      <c r="D51" s="10" t="inlineStr">
        <is>
          <t>07-15 13:47</t>
        </is>
      </c>
      <c r="E51" s="10" t="inlineStr">
        <is>
          <t>07-15 13:49</t>
        </is>
      </c>
      <c r="F51" s="10" t="n">
        <v>2</v>
      </c>
      <c r="G51" s="10" t="n">
        <v>13</v>
      </c>
      <c r="H51" s="10" t="n">
        <v>0.14</v>
      </c>
      <c r="I51" s="10" t="n">
        <v>0.1</v>
      </c>
      <c r="J51" s="10" t="n">
        <v>31.82</v>
      </c>
      <c r="K51" s="10" t="n">
        <v>10.02</v>
      </c>
      <c r="L51" s="6" t="n">
        <v>0</v>
      </c>
      <c r="M51" s="6" t="n">
        <v>-0.2857</v>
      </c>
      <c r="N51" s="4" t="n">
        <v>-80</v>
      </c>
      <c r="O51" s="10" t="inlineStr">
        <is>
          <t>Invalidation</t>
        </is>
      </c>
      <c r="P51" s="10" t="inlineStr">
        <is>
          <t>Closed</t>
        </is>
      </c>
      <c r="Q51" s="10" t="inlineStr">
        <is>
          <t>MEDIUM 2/5 | ADX✓ slope✓ agree✗ early✗ tape✗(20x)</t>
        </is>
      </c>
      <c r="R51" s="4" t="n">
        <v>63.62</v>
      </c>
    </row>
    <row r="52">
      <c r="A52" s="9" t="n">
        <v>46219</v>
      </c>
      <c r="B52" s="10" t="inlineStr">
        <is>
          <t>XSP</t>
        </is>
      </c>
      <c r="C52" s="10" t="inlineStr">
        <is>
          <t>CALL</t>
        </is>
      </c>
      <c r="D52" s="10" t="inlineStr">
        <is>
          <t>07-16 10:31</t>
        </is>
      </c>
      <c r="E52" s="10" t="inlineStr">
        <is>
          <t>07-16 10:56</t>
        </is>
      </c>
      <c r="F52" s="10" t="n">
        <v>26</v>
      </c>
      <c r="G52" s="10" t="n">
        <v>10</v>
      </c>
      <c r="H52" s="10" t="n">
        <v>0.468333</v>
      </c>
      <c r="I52" s="10" t="n">
        <v>0.34</v>
      </c>
      <c r="J52" s="10" t="n">
        <v>36.9</v>
      </c>
      <c r="K52" s="10" t="n">
        <v>1.38</v>
      </c>
      <c r="L52" s="6" t="n">
        <v>0.0356</v>
      </c>
      <c r="M52" s="6" t="n">
        <v>-0.274</v>
      </c>
      <c r="N52" s="4" t="n">
        <v>-77</v>
      </c>
      <c r="O52" s="10" t="inlineStr">
        <is>
          <t>Invalidation</t>
        </is>
      </c>
      <c r="P52" s="10" t="inlineStr">
        <is>
          <t>Closed</t>
        </is>
      </c>
      <c r="Q52" s="10" t="inlineStr">
        <is>
          <t>MEDIUM 2/5 | ADX✓ slope✗ agree✗ early✓ tape✗(5x)</t>
        </is>
      </c>
      <c r="R52" s="4" t="n">
        <v>20.89</v>
      </c>
    </row>
    <row r="53">
      <c r="A53" s="9" t="n">
        <v>46223</v>
      </c>
      <c r="B53" s="10" t="inlineStr">
        <is>
          <t>XSP</t>
        </is>
      </c>
      <c r="C53" s="10" t="inlineStr">
        <is>
          <t>PUT</t>
        </is>
      </c>
      <c r="D53" s="10" t="inlineStr">
        <is>
          <t>07-20 13:06</t>
        </is>
      </c>
      <c r="E53" s="10" t="inlineStr">
        <is>
          <t>07-20 13:24</t>
        </is>
      </c>
      <c r="F53" s="10" t="n">
        <v>19</v>
      </c>
      <c r="G53" s="10" t="n">
        <v>13</v>
      </c>
      <c r="H53" s="10" t="n">
        <v>0.35</v>
      </c>
      <c r="I53" s="10" t="n">
        <v>0.41</v>
      </c>
      <c r="J53" s="10" t="n">
        <v>30.22</v>
      </c>
      <c r="K53" s="10" t="n">
        <v>7.78</v>
      </c>
      <c r="L53" s="6" t="n">
        <v>0.4857</v>
      </c>
      <c r="M53" s="6" t="n">
        <v>0.1714</v>
      </c>
      <c r="N53" s="4" t="n">
        <v>24</v>
      </c>
      <c r="O53" s="10" t="inlineStr">
        <is>
          <t>Invalidation</t>
        </is>
      </c>
      <c r="P53" s="10" t="inlineStr">
        <is>
          <t>Closed</t>
        </is>
      </c>
      <c r="Q53" s="10" t="inlineStr">
        <is>
          <t>MEDIUM 2/5 | ADX✓ slope✓ agree✗ early✗ tape✗(28x)</t>
        </is>
      </c>
      <c r="R53" s="4" t="n">
        <v>13.92</v>
      </c>
    </row>
    <row r="54">
      <c r="A54" s="9" t="n">
        <v>46231</v>
      </c>
      <c r="B54" s="10" t="inlineStr">
        <is>
          <t>SPX</t>
        </is>
      </c>
      <c r="C54" s="10" t="inlineStr">
        <is>
          <t>PUT</t>
        </is>
      </c>
      <c r="D54" s="10" t="inlineStr">
        <is>
          <t>07-28 11:21</t>
        </is>
      </c>
      <c r="E54" s="10" t="inlineStr">
        <is>
          <t>07-28 11:27</t>
        </is>
      </c>
      <c r="F54" s="10" t="n">
        <v>6</v>
      </c>
      <c r="G54" s="10" t="n">
        <v>11</v>
      </c>
      <c r="H54" s="10" t="n">
        <v>2.3</v>
      </c>
      <c r="I54" s="10" t="n">
        <v>1.9</v>
      </c>
      <c r="J54" s="10" t="n">
        <v>30.16</v>
      </c>
      <c r="K54" s="10" t="n">
        <v>9.699999999999999</v>
      </c>
      <c r="L54" s="6" t="n">
        <v>0.1087</v>
      </c>
      <c r="M54" s="6" t="n">
        <v>-0.1739</v>
      </c>
      <c r="N54" s="4" t="n">
        <v>-40</v>
      </c>
      <c r="O54" s="10" t="inlineStr">
        <is>
          <t>Invalidation</t>
        </is>
      </c>
      <c r="P54" s="10" t="inlineStr">
        <is>
          <t>Closed</t>
        </is>
      </c>
      <c r="Q54" s="10" t="inlineStr">
        <is>
          <t>MEDIUM 2/5 | ADX✓ slope✓ agree✗ early✗ tape✗(21x)</t>
        </is>
      </c>
      <c r="R54" s="4" t="n">
        <v>6.52</v>
      </c>
    </row>
    <row r="55">
      <c r="A55" s="9" t="n">
        <v>46238</v>
      </c>
      <c r="B55" s="10" t="inlineStr">
        <is>
          <t>SPX</t>
        </is>
      </c>
      <c r="C55" s="10" t="inlineStr">
        <is>
          <t>PUT</t>
        </is>
      </c>
      <c r="D55" s="10" t="inlineStr">
        <is>
          <t>08-04 10:08</t>
        </is>
      </c>
      <c r="E55" s="10" t="inlineStr">
        <is>
          <t>08-04 10:09</t>
        </is>
      </c>
      <c r="F55" s="10" t="n">
        <v>1</v>
      </c>
      <c r="G55" s="10" t="n">
        <v>10</v>
      </c>
      <c r="H55" s="10" t="n">
        <v>2.45</v>
      </c>
      <c r="I55" s="10" t="n">
        <v>2.4</v>
      </c>
      <c r="J55" s="10" t="n">
        <v>42.36</v>
      </c>
      <c r="K55" s="10" t="n">
        <v>42.36</v>
      </c>
      <c r="L55" s="6" t="n">
        <v>0</v>
      </c>
      <c r="M55" s="6" t="n">
        <v>-0.0204</v>
      </c>
      <c r="N55" s="4" t="n">
        <v>-10</v>
      </c>
      <c r="O55" s="10" t="inlineStr">
        <is>
          <t>Invalidation</t>
        </is>
      </c>
      <c r="P55" s="10" t="inlineStr">
        <is>
          <t>Closed</t>
        </is>
      </c>
      <c r="Q55" s="10" t="inlineStr">
        <is>
          <t>HIGH 4/5 | ADX✓ slope✓ agree✗ early✓ tape✓(1x)</t>
        </is>
      </c>
      <c r="R55" s="4" t="n">
        <v>10.24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SUMPRODUCT((TEXT(Trades!$A$2:$A$55,"yyyy-mm-dd")="2026-05-05")*Trades!$N$2:$N$55)</f>
        <v/>
      </c>
      <c r="C2" s="11">
        <f>SUM($B$2:B2)</f>
        <v/>
      </c>
      <c r="D2">
        <f>SUMPRODUCT((TEXT(Trades!$A$2:$A$55,"yyyy-mm-dd")="2026-05-05")*(Trades!$P$2:$P$55="Closed")*1)</f>
        <v/>
      </c>
      <c r="E2">
        <f>SUMPRODUCT((TEXT(Trades!$A$2:$A$55,"yyyy-mm-dd")="2026-05-05")*(Trades!$N$2:$N$55&gt;0)*1)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SUMPRODUCT((TEXT(Trades!$A$2:$A$55,"yyyy-mm-dd")="2026-05-15")*Trades!$N$2:$N$55)</f>
        <v/>
      </c>
      <c r="C3" s="11">
        <f>SUM($B$2:B3)</f>
        <v/>
      </c>
      <c r="D3">
        <f>SUMPRODUCT((TEXT(Trades!$A$2:$A$55,"yyyy-mm-dd")="2026-05-15")*(Trades!$P$2:$P$55="Closed")*1)</f>
        <v/>
      </c>
      <c r="E3">
        <f>SUMPRODUCT((TEXT(Trades!$A$2:$A$55,"yyyy-mm-dd")="2026-05-15")*(Trades!$N$2:$N$55&gt;0)*1)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SUMPRODUCT((TEXT(Trades!$A$2:$A$55,"yyyy-mm-dd")="2026-06-29")*Trades!$N$2:$N$55)</f>
        <v/>
      </c>
      <c r="C4" s="11">
        <f>SUM($B$2:B4)</f>
        <v/>
      </c>
      <c r="D4">
        <f>SUMPRODUCT((TEXT(Trades!$A$2:$A$55,"yyyy-mm-dd")="2026-06-29")*(Trades!$P$2:$P$55="Closed")*1)</f>
        <v/>
      </c>
      <c r="E4">
        <f>SUMPRODUCT((TEXT(Trades!$A$2:$A$55,"yyyy-mm-dd")="2026-06-29")*(Trades!$N$2:$N$55&gt;0)*1)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SUMPRODUCT((TEXT(Trades!$A$2:$A$55,"yyyy-mm-dd")="2026-06-30")*Trades!$N$2:$N$55)</f>
        <v/>
      </c>
      <c r="C5" s="11">
        <f>SUM($B$2:B5)</f>
        <v/>
      </c>
      <c r="D5">
        <f>SUMPRODUCT((TEXT(Trades!$A$2:$A$55,"yyyy-mm-dd")="2026-06-30")*(Trades!$P$2:$P$55="Closed")*1)</f>
        <v/>
      </c>
      <c r="E5">
        <f>SUMPRODUCT((TEXT(Trades!$A$2:$A$55,"yyyy-mm-dd")="2026-06-30")*(Trades!$N$2:$N$55&gt;0)*1)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SUMPRODUCT((TEXT(Trades!$A$2:$A$55,"yyyy-mm-dd")="2026-07-01")*Trades!$N$2:$N$55)</f>
        <v/>
      </c>
      <c r="C6" s="11">
        <f>SUM($B$2:B6)</f>
        <v/>
      </c>
      <c r="D6">
        <f>SUMPRODUCT((TEXT(Trades!$A$2:$A$55,"yyyy-mm-dd")="2026-07-01")*(Trades!$P$2:$P$55="Closed")*1)</f>
        <v/>
      </c>
      <c r="E6">
        <f>SUMPRODUCT((TEXT(Trades!$A$2:$A$55,"yyyy-mm-dd")="2026-07-01")*(Trades!$N$2:$N$55&gt;0)*1)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SUMPRODUCT((TEXT(Trades!$A$2:$A$55,"yyyy-mm-dd")="2026-07-06")*Trades!$N$2:$N$55)</f>
        <v/>
      </c>
      <c r="C7" s="11">
        <f>SUM($B$2:B7)</f>
        <v/>
      </c>
      <c r="D7">
        <f>SUMPRODUCT((TEXT(Trades!$A$2:$A$55,"yyyy-mm-dd")="2026-07-06")*(Trades!$P$2:$P$55="Closed")*1)</f>
        <v/>
      </c>
      <c r="E7">
        <f>SUMPRODUCT((TEXT(Trades!$A$2:$A$55,"yyyy-mm-dd")="2026-07-06")*(Trades!$N$2:$N$55&gt;0)*1)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SUMPRODUCT((TEXT(Trades!$A$2:$A$55,"yyyy-mm-dd")="2026-07-07")*Trades!$N$2:$N$55)</f>
        <v/>
      </c>
      <c r="C8" s="11">
        <f>SUM($B$2:B8)</f>
        <v/>
      </c>
      <c r="D8">
        <f>SUMPRODUCT((TEXT(Trades!$A$2:$A$55,"yyyy-mm-dd")="2026-07-07")*(Trades!$P$2:$P$55="Closed")*1)</f>
        <v/>
      </c>
      <c r="E8">
        <f>SUMPRODUCT((TEXT(Trades!$A$2:$A$55,"yyyy-mm-dd")="2026-07-07")*(Trades!$N$2:$N$55&gt;0)*1)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SUMPRODUCT((TEXT(Trades!$A$2:$A$55,"yyyy-mm-dd")="2026-07-08")*Trades!$N$2:$N$55)</f>
        <v/>
      </c>
      <c r="C9" s="11">
        <f>SUM($B$2:B9)</f>
        <v/>
      </c>
      <c r="D9">
        <f>SUMPRODUCT((TEXT(Trades!$A$2:$A$55,"yyyy-mm-dd")="2026-07-08")*(Trades!$P$2:$P$55="Closed")*1)</f>
        <v/>
      </c>
      <c r="E9">
        <f>SUMPRODUCT((TEXT(Trades!$A$2:$A$55,"yyyy-mm-dd")="2026-07-08")*(Trades!$N$2:$N$55&gt;0)*1)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SUMPRODUCT((TEXT(Trades!$A$2:$A$55,"yyyy-mm-dd")="2026-07-09")*Trades!$N$2:$N$55)</f>
        <v/>
      </c>
      <c r="C10" s="11">
        <f>SUM($B$2:B10)</f>
        <v/>
      </c>
      <c r="D10">
        <f>SUMPRODUCT((TEXT(Trades!$A$2:$A$55,"yyyy-mm-dd")="2026-07-09")*(Trades!$P$2:$P$55="Closed")*1)</f>
        <v/>
      </c>
      <c r="E10">
        <f>SUMPRODUCT((TEXT(Trades!$A$2:$A$55,"yyyy-mm-dd")="2026-07-09")*(Trades!$N$2:$N$55&gt;0)*1)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SUMPRODUCT((TEXT(Trades!$A$2:$A$55,"yyyy-mm-dd")="2026-07-10")*Trades!$N$2:$N$55)</f>
        <v/>
      </c>
      <c r="C11" s="11">
        <f>SUM($B$2:B11)</f>
        <v/>
      </c>
      <c r="D11">
        <f>SUMPRODUCT((TEXT(Trades!$A$2:$A$55,"yyyy-mm-dd")="2026-07-10")*(Trades!$P$2:$P$55="Closed")*1)</f>
        <v/>
      </c>
      <c r="E11">
        <f>SUMPRODUCT((TEXT(Trades!$A$2:$A$55,"yyyy-mm-dd")="2026-07-10")*(Trades!$N$2:$N$55&gt;0)*1)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SUMPRODUCT((TEXT(Trades!$A$2:$A$55,"yyyy-mm-dd")="2026-07-13")*Trades!$N$2:$N$55)</f>
        <v/>
      </c>
      <c r="C12" s="11">
        <f>SUM($B$2:B12)</f>
        <v/>
      </c>
      <c r="D12">
        <f>SUMPRODUCT((TEXT(Trades!$A$2:$A$55,"yyyy-mm-dd")="2026-07-13")*(Trades!$P$2:$P$55="Closed")*1)</f>
        <v/>
      </c>
      <c r="E12">
        <f>SUMPRODUCT((TEXT(Trades!$A$2:$A$55,"yyyy-mm-dd")="2026-07-13")*(Trades!$N$2:$N$55&gt;0)*1)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SUMPRODUCT((TEXT(Trades!$A$2:$A$55,"yyyy-mm-dd")="2026-07-14")*Trades!$N$2:$N$55)</f>
        <v/>
      </c>
      <c r="C13" s="11">
        <f>SUM($B$2:B13)</f>
        <v/>
      </c>
      <c r="D13">
        <f>SUMPRODUCT((TEXT(Trades!$A$2:$A$55,"yyyy-mm-dd")="2026-07-14")*(Trades!$P$2:$P$55="Closed")*1)</f>
        <v/>
      </c>
      <c r="E13">
        <f>SUMPRODUCT((TEXT(Trades!$A$2:$A$55,"yyyy-mm-dd")="2026-07-14")*(Trades!$N$2:$N$55&gt;0)*1)</f>
        <v/>
      </c>
      <c r="F13">
        <f>D13-E13</f>
        <v/>
      </c>
    </row>
    <row r="14">
      <c r="A14" t="inlineStr">
        <is>
          <t>07/15</t>
        </is>
      </c>
      <c r="B14" s="11">
        <f>SUMPRODUCT((TEXT(Trades!$A$2:$A$55,"yyyy-mm-dd")="2026-07-15")*Trades!$N$2:$N$55)</f>
        <v/>
      </c>
      <c r="C14" s="11">
        <f>SUM($B$2:B14)</f>
        <v/>
      </c>
      <c r="D14">
        <f>SUMPRODUCT((TEXT(Trades!$A$2:$A$55,"yyyy-mm-dd")="2026-07-15")*(Trades!$P$2:$P$55="Closed")*1)</f>
        <v/>
      </c>
      <c r="E14">
        <f>SUMPRODUCT((TEXT(Trades!$A$2:$A$55,"yyyy-mm-dd")="2026-07-15")*(Trades!$N$2:$N$55&gt;0)*1)</f>
        <v/>
      </c>
      <c r="F14">
        <f>D14-E14</f>
        <v/>
      </c>
    </row>
    <row r="15">
      <c r="A15" t="inlineStr">
        <is>
          <t>07/16</t>
        </is>
      </c>
      <c r="B15" s="11">
        <f>SUMPRODUCT((TEXT(Trades!$A$2:$A$55,"yyyy-mm-dd")="2026-07-16")*Trades!$N$2:$N$55)</f>
        <v/>
      </c>
      <c r="C15" s="11">
        <f>SUM($B$2:B15)</f>
        <v/>
      </c>
      <c r="D15">
        <f>SUMPRODUCT((TEXT(Trades!$A$2:$A$55,"yyyy-mm-dd")="2026-07-16")*(Trades!$P$2:$P$55="Closed")*1)</f>
        <v/>
      </c>
      <c r="E15">
        <f>SUMPRODUCT((TEXT(Trades!$A$2:$A$55,"yyyy-mm-dd")="2026-07-16")*(Trades!$N$2:$N$55&gt;0)*1)</f>
        <v/>
      </c>
      <c r="F15">
        <f>D15-E15</f>
        <v/>
      </c>
    </row>
    <row r="16">
      <c r="A16" t="inlineStr">
        <is>
          <t>07/20</t>
        </is>
      </c>
      <c r="B16" s="11">
        <f>SUMPRODUCT((TEXT(Trades!$A$2:$A$55,"yyyy-mm-dd")="2026-07-20")*Trades!$N$2:$N$55)</f>
        <v/>
      </c>
      <c r="C16" s="11">
        <f>SUM($B$2:B16)</f>
        <v/>
      </c>
      <c r="D16">
        <f>SUMPRODUCT((TEXT(Trades!$A$2:$A$55,"yyyy-mm-dd")="2026-07-20")*(Trades!$P$2:$P$55="Closed")*1)</f>
        <v/>
      </c>
      <c r="E16">
        <f>SUMPRODUCT((TEXT(Trades!$A$2:$A$55,"yyyy-mm-dd")="2026-07-20")*(Trades!$N$2:$N$55&gt;0)*1)</f>
        <v/>
      </c>
      <c r="F16">
        <f>D16-E16</f>
        <v/>
      </c>
    </row>
    <row r="17">
      <c r="A17" t="inlineStr">
        <is>
          <t>07/28</t>
        </is>
      </c>
      <c r="B17" s="11">
        <f>SUMPRODUCT((TEXT(Trades!$A$2:$A$55,"yyyy-mm-dd")="2026-07-28")*Trades!$N$2:$N$55)</f>
        <v/>
      </c>
      <c r="C17" s="11">
        <f>SUM($B$2:B17)</f>
        <v/>
      </c>
      <c r="D17">
        <f>SUMPRODUCT((TEXT(Trades!$A$2:$A$55,"yyyy-mm-dd")="2026-07-28")*(Trades!$P$2:$P$55="Closed")*1)</f>
        <v/>
      </c>
      <c r="E17">
        <f>SUMPRODUCT((TEXT(Trades!$A$2:$A$55,"yyyy-mm-dd")="2026-07-28")*(Trades!$N$2:$N$55&gt;0)*1)</f>
        <v/>
      </c>
      <c r="F17">
        <f>D17-E17</f>
        <v/>
      </c>
    </row>
    <row r="18">
      <c r="A18" t="inlineStr">
        <is>
          <t>08/04</t>
        </is>
      </c>
      <c r="B18" s="11">
        <f>SUMPRODUCT((TEXT(Trades!$A$2:$A$55,"yyyy-mm-dd")="2026-08-04")*Trades!$N$2:$N$55)</f>
        <v/>
      </c>
      <c r="C18" s="11">
        <f>SUM($B$2:B18)</f>
        <v/>
      </c>
      <c r="D18">
        <f>SUMPRODUCT((TEXT(Trades!$A$2:$A$55,"yyyy-mm-dd")="2026-08-04")*(Trades!$P$2:$P$55="Closed")*1)</f>
        <v/>
      </c>
      <c r="E18">
        <f>SUMPRODUCT((TEXT(Trades!$A$2:$A$55,"yyyy-mm-dd")="2026-08-04")*(Trades!$N$2:$N$55&gt;0)*1)</f>
        <v/>
      </c>
      <c r="F18">
        <f>D18-E18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SUMIFS(Trades!$N$2:$N$55,Trades!$B$2:$B$55,A3)</f>
        <v/>
      </c>
      <c r="C3">
        <f>COUNTIFS(Trades!$B$2:$B$55,A3,Trades!$P$2:$P$55,"Closed")</f>
        <v/>
      </c>
      <c r="D3" s="13">
        <f>IF(C3=0,0,COUNTIFS(Trades!$B$2:$B$55,A3,Trades!$N$2:$N$55,"&gt;0")/C3)</f>
        <v/>
      </c>
    </row>
    <row r="4">
      <c r="A4" t="inlineStr">
        <is>
          <t>QQQ</t>
        </is>
      </c>
      <c r="B4" s="11">
        <f>SUMIFS(Trades!$N$2:$N$55,Trades!$B$2:$B$55,A4)</f>
        <v/>
      </c>
      <c r="C4">
        <f>COUNTIFS(Trades!$B$2:$B$55,A4,Trades!$P$2:$P$55,"Closed")</f>
        <v/>
      </c>
      <c r="D4" s="13">
        <f>IF(C4=0,0,COUNTIFS(Trades!$B$2:$B$55,A4,Trades!$N$2:$N$55,"&gt;0")/C4)</f>
        <v/>
      </c>
    </row>
    <row r="5">
      <c r="A5" t="inlineStr">
        <is>
          <t>SPX</t>
        </is>
      </c>
      <c r="B5" s="11">
        <f>SUMIFS(Trades!$N$2:$N$55,Trades!$B$2:$B$55,A5)</f>
        <v/>
      </c>
      <c r="C5">
        <f>COUNTIFS(Trades!$B$2:$B$55,A5,Trades!$P$2:$P$55,"Closed")</f>
        <v/>
      </c>
      <c r="D5" s="13">
        <f>IF(C5=0,0,COUNTIFS(Trades!$B$2:$B$55,A5,Trades!$N$2:$N$55,"&gt;0")/C5)</f>
        <v/>
      </c>
    </row>
    <row r="6">
      <c r="A6" t="inlineStr">
        <is>
          <t>SPY</t>
        </is>
      </c>
      <c r="B6" s="11">
        <f>SUMIFS(Trades!$N$2:$N$55,Trades!$B$2:$B$55,A6)</f>
        <v/>
      </c>
      <c r="C6">
        <f>COUNTIFS(Trades!$B$2:$B$55,A6,Trades!$P$2:$P$55,"Closed")</f>
        <v/>
      </c>
      <c r="D6" s="13">
        <f>IF(C6=0,0,COUNTIFS(Trades!$B$2:$B$55,A6,Trades!$N$2:$N$55,"&gt;0")/C6)</f>
        <v/>
      </c>
    </row>
    <row r="7">
      <c r="A7" t="inlineStr">
        <is>
          <t>XSP</t>
        </is>
      </c>
      <c r="B7" s="11">
        <f>SUMIFS(Trades!$N$2:$N$55,Trades!$B$2:$B$55,A7)</f>
        <v/>
      </c>
      <c r="C7">
        <f>COUNTIFS(Trades!$B$2:$B$55,A7,Trades!$P$2:$P$55,"Closed")</f>
        <v/>
      </c>
      <c r="D7" s="13">
        <f>IF(C7=0,0,COUNTIFS(Trades!$B$2:$B$55,A7,Trades!$N$2:$N$55,"&gt;0")/C7)</f>
        <v/>
      </c>
    </row>
    <row r="10">
      <c r="A10" s="12" t="inlineStr">
        <is>
          <t>By Exit Rule</t>
        </is>
      </c>
    </row>
    <row r="11">
      <c r="A11" s="8" t="inlineStr">
        <is>
          <t>Exit Rule</t>
        </is>
      </c>
      <c r="B11" s="8" t="inlineStr">
        <is>
          <t>P&amp;L $</t>
        </is>
      </c>
      <c r="C11" s="8" t="inlineStr">
        <is>
          <t>Count</t>
        </is>
      </c>
      <c r="D11" s="8" t="inlineStr">
        <is>
          <t>Avg P&amp;L $</t>
        </is>
      </c>
    </row>
    <row r="12">
      <c r="A12" t="inlineStr">
        <is>
          <t>Invalidation</t>
        </is>
      </c>
      <c r="B12" s="11">
        <f>SUMIFS(Trades!$N$2:$N$55,Trades!$O$2:$O$55,A12)</f>
        <v/>
      </c>
      <c r="C12">
        <f>COUNTIF(Trades!$O$2:$O$55,A12)</f>
        <v/>
      </c>
      <c r="D12" s="11">
        <f>IF(C12=0,0,B12/C12)</f>
        <v/>
      </c>
    </row>
    <row r="13">
      <c r="A13" t="inlineStr">
        <is>
          <t>Hard Stop</t>
        </is>
      </c>
      <c r="B13" s="11">
        <f>SUMIFS(Trades!$N$2:$N$55,Trades!$O$2:$O$55,A13)</f>
        <v/>
      </c>
      <c r="C13">
        <f>COUNTIF(Trades!$O$2:$O$55,A13)</f>
        <v/>
      </c>
      <c r="D13" s="11">
        <f>IF(C13=0,0,B13/C13)</f>
        <v/>
      </c>
    </row>
    <row r="14">
      <c r="A14" t="inlineStr">
        <is>
          <t>Trail (new)</t>
        </is>
      </c>
      <c r="B14" s="11">
        <f>SUMIFS(Trades!$N$2:$N$55,Trades!$O$2:$O$55,A14)</f>
        <v/>
      </c>
      <c r="C14">
        <f>COUNTIF(Trades!$O$2:$O$55,A14)</f>
        <v/>
      </c>
      <c r="D14" s="11">
        <f>IF(C14=0,0,B14/C14)</f>
        <v/>
      </c>
    </row>
    <row r="15">
      <c r="A15" t="inlineStr">
        <is>
          <t>Old rule (removed)</t>
        </is>
      </c>
      <c r="B15" s="11">
        <f>SUMIFS(Trades!$N$2:$N$55,Trades!$O$2:$O$55,A15)</f>
        <v/>
      </c>
      <c r="C15">
        <f>COUNTIF(Trades!$O$2:$O$55,A15)</f>
        <v/>
      </c>
      <c r="D15" s="11">
        <f>IF(C15=0,0,B15/C15)</f>
        <v/>
      </c>
    </row>
    <row r="18">
      <c r="A18" s="12" t="inlineStr">
        <is>
          <t>By Entry Hour (ET)</t>
        </is>
      </c>
    </row>
    <row r="19">
      <c r="A19" s="8" t="inlineStr">
        <is>
          <t>Hour</t>
        </is>
      </c>
      <c r="B19" s="8" t="inlineStr">
        <is>
          <t>P&amp;L $</t>
        </is>
      </c>
      <c r="C19" s="8" t="inlineStr">
        <is>
          <t>Trades</t>
        </is>
      </c>
    </row>
    <row r="20">
      <c r="A20" t="inlineStr">
        <is>
          <t>9:00</t>
        </is>
      </c>
      <c r="B20" s="11">
        <f>SUMIFS(Trades!$N$2:$N$55,Trades!$G$2:$G$55,9)</f>
        <v/>
      </c>
      <c r="C20">
        <f>COUNTIFS(Trades!$G$2:$G$55,9,Trades!$P$2:$P$55,"Closed")</f>
        <v/>
      </c>
    </row>
    <row r="21">
      <c r="A21" t="inlineStr">
        <is>
          <t>10:00</t>
        </is>
      </c>
      <c r="B21" s="11">
        <f>SUMIFS(Trades!$N$2:$N$55,Trades!$G$2:$G$55,10)</f>
        <v/>
      </c>
      <c r="C21">
        <f>COUNTIFS(Trades!$G$2:$G$55,10,Trades!$P$2:$P$55,"Closed")</f>
        <v/>
      </c>
    </row>
    <row r="22">
      <c r="A22" t="inlineStr">
        <is>
          <t>11:00</t>
        </is>
      </c>
      <c r="B22" s="11">
        <f>SUMIFS(Trades!$N$2:$N$55,Trades!$G$2:$G$55,11)</f>
        <v/>
      </c>
      <c r="C22">
        <f>COUNTIFS(Trades!$G$2:$G$55,11,Trades!$P$2:$P$55,"Closed")</f>
        <v/>
      </c>
    </row>
    <row r="23">
      <c r="A23" t="inlineStr">
        <is>
          <t>12:00</t>
        </is>
      </c>
      <c r="B23" s="11">
        <f>SUMIFS(Trades!$N$2:$N$55,Trades!$G$2:$G$55,12)</f>
        <v/>
      </c>
      <c r="C23">
        <f>COUNTIFS(Trades!$G$2:$G$55,12,Trades!$P$2:$P$55,"Closed")</f>
        <v/>
      </c>
    </row>
    <row r="24">
      <c r="A24" t="inlineStr">
        <is>
          <t>13:00</t>
        </is>
      </c>
      <c r="B24" s="11">
        <f>SUMIFS(Trades!$N$2:$N$55,Trades!$G$2:$G$55,13)</f>
        <v/>
      </c>
      <c r="C24">
        <f>COUNTIFS(Trades!$G$2:$G$55,13,Trades!$P$2:$P$55,"Closed")</f>
        <v/>
      </c>
    </row>
    <row r="25">
      <c r="A25" t="inlineStr">
        <is>
          <t>14:00</t>
        </is>
      </c>
      <c r="B25" s="11">
        <f>SUMIFS(Trades!$N$2:$N$55,Trades!$G$2:$G$55,14)</f>
        <v/>
      </c>
      <c r="C25">
        <f>COUNTIFS(Trades!$G$2:$G$55,14,Trades!$P$2:$P$55,"Closed")</f>
        <v/>
      </c>
    </row>
    <row r="26">
      <c r="A26" t="inlineStr">
        <is>
          <t>15:00</t>
        </is>
      </c>
      <c r="B26" s="11">
        <f>SUMIFS(Trades!$N$2:$N$55,Trades!$G$2:$G$55,15)</f>
        <v/>
      </c>
      <c r="C26">
        <f>COUNTIFS(Trades!$G$2:$G$55,15,Trades!$P$2:$P$55,"Closed")</f>
        <v/>
      </c>
    </row>
    <row r="29">
      <c r="A29" s="12" t="inlineStr">
        <is>
          <t>By Conviction Tier</t>
        </is>
      </c>
    </row>
    <row r="30">
      <c r="A30" s="8" t="inlineStr">
        <is>
          <t>Tier</t>
        </is>
      </c>
      <c r="B30" s="8" t="inlineStr">
        <is>
          <t>P&amp;L $</t>
        </is>
      </c>
      <c r="C30" s="8" t="inlineStr">
        <is>
          <t>Trades</t>
        </is>
      </c>
      <c r="D30" s="8" t="inlineStr">
        <is>
          <t>Win rate</t>
        </is>
      </c>
    </row>
    <row r="31">
      <c r="A31" t="inlineStr">
        <is>
          <t>LOW</t>
        </is>
      </c>
      <c r="B31" s="11">
        <f>SUMIFS(Trades!$N$2:$N$55,Trades!$Q$2:$Q$55,A31&amp;" *")</f>
        <v/>
      </c>
      <c r="C31">
        <f>COUNTIFS(Trades!$Q$2:$Q$55,A31&amp;" *",Trades!$P$2:$P$55,"Closed")</f>
        <v/>
      </c>
      <c r="D31" s="13">
        <f>IF(C31=0,0,COUNTIFS(Trades!$Q$2:$Q$55,A31&amp;" *",Trades!$N$2:$N$55,"&gt;0")/C31)</f>
        <v/>
      </c>
    </row>
    <row r="32">
      <c r="A32" t="inlineStr">
        <is>
          <t>MEDIUM</t>
        </is>
      </c>
      <c r="B32" s="11">
        <f>SUMIFS(Trades!$N$2:$N$55,Trades!$Q$2:$Q$55,A32&amp;" *")</f>
        <v/>
      </c>
      <c r="C32">
        <f>COUNTIFS(Trades!$Q$2:$Q$55,A32&amp;" *",Trades!$P$2:$P$55,"Closed")</f>
        <v/>
      </c>
      <c r="D32" s="13">
        <f>IF(C32=0,0,COUNTIFS(Trades!$Q$2:$Q$55,A32&amp;" *",Trades!$N$2:$N$55,"&gt;0")/C32)</f>
        <v/>
      </c>
    </row>
    <row r="33">
      <c r="A33" t="inlineStr">
        <is>
          <t>HIGH</t>
        </is>
      </c>
      <c r="B33" s="11">
        <f>SUMIFS(Trades!$N$2:$N$55,Trades!$Q$2:$Q$55,A33&amp;" *")</f>
        <v/>
      </c>
      <c r="C33">
        <f>COUNTIFS(Trades!$Q$2:$Q$55,A33&amp;" *",Trades!$P$2:$P$55,"Closed")</f>
        <v/>
      </c>
      <c r="D33" s="13">
        <f>IF(C33=0,0,COUNTIFS(Trades!$Q$2:$Q$55,A33&amp;" *",Trades!$N$2:$N$55,"&gt;0")/C33)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2026-08-04T20:00:20Z</dcterms:created>
  <dcterms:modified xsi:type="dcterms:W3CDTF">2026-08-04T20:00:20Z</dcterms:modified>
</cp:coreProperties>
</file>