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'Daily'!$A$2:$A$9</f>
            </numRef>
          </cat>
          <val>
            <numRef>
              <f>'Daily'!$B$2:$B$9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'Daily'!$A$2:$A$9</f>
            </numRef>
          </cat>
          <val>
            <numRef>
              <f>'Daily'!$C$2:$C$9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'Analysis'!$A$3:$A$5</f>
            </numRef>
          </cat>
          <val>
            <numRef>
              <f>'Analysis'!$B$3:$B$5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'Analysis'!B9</f>
            </strRef>
          </tx>
          <spPr>
            <a:ln>
              <a:prstDash val="solid"/>
            </a:ln>
          </spPr>
          <cat>
            <numRef>
              <f>'Analysis'!$A$10:$A$13</f>
            </numRef>
          </cat>
          <val>
            <numRef>
              <f>'Analysis'!$B$10:$B$13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'Analysis'!B17</f>
            </strRef>
          </tx>
          <spPr>
            <a:ln>
              <a:prstDash val="solid"/>
            </a:ln>
          </spPr>
          <cat>
            <numRef>
              <f>'Analysis'!$A$18:$A$24</f>
            </numRef>
          </cat>
          <val>
            <numRef>
              <f>'Analysis'!$B$18:$B$24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'Analysis'!B28</f>
            </strRef>
          </tx>
          <spPr>
            <a:ln>
              <a:prstDash val="solid"/>
            </a:ln>
          </spPr>
          <cat>
            <numRef>
              <f>'Analysis'!$A$29:$A$31</f>
            </numRef>
          </cat>
          <val>
            <numRef>
              <f>'Analysis'!$B$29:$B$31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2026-07-08 15:00 — refresh: python scripts/build_dashboard.py</t>
        </is>
      </c>
    </row>
    <row r="4">
      <c r="A4" s="3" t="inlineStr">
        <is>
          <t>Total P&amp;L $</t>
        </is>
      </c>
      <c r="B4" s="4">
        <f>SUM(Trades!$N$2:$N$37)</f>
        <v/>
      </c>
    </row>
    <row r="5">
      <c r="A5" s="3" t="inlineStr">
        <is>
          <t>Closed trades</t>
        </is>
      </c>
      <c r="B5" s="5">
        <f>COUNTIF(Trades!$P$2:$P$37,"Closed")</f>
        <v/>
      </c>
    </row>
    <row r="6">
      <c r="A6" s="3" t="inlineStr">
        <is>
          <t>Win rate</t>
        </is>
      </c>
      <c r="B6" s="6">
        <f>COUNTIF(Trades!$N$2:$N$37,"&gt;0")/B5</f>
        <v/>
      </c>
    </row>
    <row r="7">
      <c r="A7" s="3" t="inlineStr">
        <is>
          <t>Avg win $</t>
        </is>
      </c>
      <c r="B7" s="4">
        <f>AVERAGEIF(Trades!$N$2:$N$37,"&gt;0")</f>
        <v/>
      </c>
    </row>
    <row r="8">
      <c r="A8" s="3" t="inlineStr">
        <is>
          <t>Avg loss $</t>
        </is>
      </c>
      <c r="B8" s="4">
        <f>IF(COUNTIF(Trades!$N$2:$N$37,"&lt;0")=0,0,AVERAGEIF(Trades!$N$2:$N$37,"&lt;0"))</f>
        <v/>
      </c>
    </row>
    <row r="9">
      <c r="A9" s="3" t="inlineStr">
        <is>
          <t>Profit factor</t>
        </is>
      </c>
      <c r="B9" s="7">
        <f>IF(SUMIF(Trades!$N$2:$N$37,"&lt;0")=0,0,-SUMIF(Trades!$N$2:$N$37,"&gt;0")/SUMIF(Trades!$N$2:$N$37,"&lt;0"))</f>
        <v/>
      </c>
    </row>
    <row r="10">
      <c r="A10" s="3" t="inlineStr">
        <is>
          <t>Best day $</t>
        </is>
      </c>
      <c r="B10" s="4">
        <f>MAX(Daily!$B$2:$B$9)</f>
        <v/>
      </c>
    </row>
    <row r="11">
      <c r="A11" s="3" t="inlineStr">
        <is>
          <t>Worst day $</t>
        </is>
      </c>
      <c r="B11" s="4">
        <f>MIN(Daily!$B$2:$B$9)</f>
        <v/>
      </c>
    </row>
    <row r="12">
      <c r="A12" s="3" t="inlineStr">
        <is>
          <t>Commissions $</t>
        </is>
      </c>
      <c r="B12" s="4">
        <f>SUM(Trades!$R$2:$R$37)</f>
        <v/>
      </c>
    </row>
    <row r="13">
      <c r="A13" s="3" t="inlineStr">
        <is>
          <t>Net after fees $</t>
        </is>
      </c>
      <c r="B13" s="4">
        <f>B4-B12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  <col width="11" customWidth="1" min="18" max="18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  <c r="R1" s="8" t="inlineStr">
        <is>
          <t>Commission</t>
        </is>
      </c>
    </row>
    <row r="2">
      <c r="A2" s="9" t="n">
        <v>46147</v>
      </c>
      <c r="B2" s="10" t="inlineStr">
        <is>
          <t>SPY</t>
        </is>
      </c>
      <c r="C2" s="10" t="inlineStr">
        <is>
          <t>CALL</t>
        </is>
      </c>
      <c r="D2" s="10" t="inlineStr"/>
      <c r="E2" s="10" t="inlineStr">
        <is>
          <t>05-05 13:08</t>
        </is>
      </c>
      <c r="F2" s="10" t="n"/>
      <c r="G2" s="10" t="n"/>
      <c r="H2" s="10" t="n"/>
      <c r="I2" s="10" t="n">
        <v>0.19</v>
      </c>
      <c r="J2" s="10" t="n"/>
      <c r="K2" s="10" t="n"/>
      <c r="L2" s="6" t="n"/>
      <c r="M2" s="6" t="n">
        <v>-0.5</v>
      </c>
      <c r="N2" s="4" t="n">
        <v>-133</v>
      </c>
      <c r="O2" s="10" t="inlineStr">
        <is>
          <t>Hard Stop</t>
        </is>
      </c>
      <c r="P2" s="10" t="inlineStr">
        <is>
          <t>Closed</t>
        </is>
      </c>
      <c r="Q2" s="10" t="inlineStr"/>
      <c r="R2" s="4" t="n"/>
    </row>
    <row r="3">
      <c r="A3" s="9" t="n">
        <v>46157</v>
      </c>
      <c r="B3" s="10" t="inlineStr">
        <is>
          <t>SPY</t>
        </is>
      </c>
      <c r="C3" s="10" t="inlineStr">
        <is>
          <t>CALL</t>
        </is>
      </c>
      <c r="D3" s="10" t="inlineStr">
        <is>
          <t>05-15 13:42</t>
        </is>
      </c>
      <c r="E3" s="10" t="inlineStr">
        <is>
          <t>05-15 13:47</t>
        </is>
      </c>
      <c r="F3" s="10" t="n">
        <v>5</v>
      </c>
      <c r="G3" s="10" t="n">
        <v>13</v>
      </c>
      <c r="H3" s="10" t="n">
        <v>0.3999999999999999</v>
      </c>
      <c r="I3" s="10" t="n">
        <v>0.4500000000000002</v>
      </c>
      <c r="J3" s="10" t="n">
        <v>26.31</v>
      </c>
      <c r="K3" s="10" t="n"/>
      <c r="L3" s="6" t="n"/>
      <c r="M3" s="6" t="n">
        <v>0.125</v>
      </c>
      <c r="N3" s="4" t="n">
        <v>35</v>
      </c>
      <c r="O3" s="10" t="inlineStr">
        <is>
          <t>Old rule (removed)</t>
        </is>
      </c>
      <c r="P3" s="10" t="inlineStr">
        <is>
          <t>Closed</t>
        </is>
      </c>
      <c r="Q3" s="10" t="inlineStr"/>
      <c r="R3" s="4" t="n"/>
    </row>
    <row r="4">
      <c r="A4" s="9" t="n">
        <v>46202</v>
      </c>
      <c r="B4" s="10" t="inlineStr">
        <is>
          <t>IWM</t>
        </is>
      </c>
      <c r="C4" s="10" t="inlineStr">
        <is>
          <t>PUT</t>
        </is>
      </c>
      <c r="D4" s="10" t="inlineStr">
        <is>
          <t>06-29 11:22</t>
        </is>
      </c>
      <c r="E4" s="10" t="inlineStr">
        <is>
          <t>06-29 11:27</t>
        </is>
      </c>
      <c r="F4" s="10" t="n">
        <v>5</v>
      </c>
      <c r="G4" s="10" t="n">
        <v>11</v>
      </c>
      <c r="H4" s="10" t="n">
        <v>0.41</v>
      </c>
      <c r="I4" s="10" t="n">
        <v>0.45</v>
      </c>
      <c r="J4" s="10" t="n">
        <v>25.29</v>
      </c>
      <c r="K4" s="10" t="n"/>
      <c r="L4" s="6" t="n"/>
      <c r="M4" s="6" t="n">
        <v>0.09759999999999999</v>
      </c>
      <c r="N4" s="4" t="n">
        <v>28</v>
      </c>
      <c r="O4" s="10" t="inlineStr">
        <is>
          <t>Old rule (removed)</t>
        </is>
      </c>
      <c r="P4" s="10" t="inlineStr">
        <is>
          <t>Closed</t>
        </is>
      </c>
      <c r="Q4" s="10" t="inlineStr"/>
      <c r="R4" s="4" t="n"/>
    </row>
    <row r="5">
      <c r="A5" s="9" t="n">
        <v>46202</v>
      </c>
      <c r="B5" s="10" t="inlineStr">
        <is>
          <t>QQQ</t>
        </is>
      </c>
      <c r="C5" s="10" t="inlineStr">
        <is>
          <t>CALL</t>
        </is>
      </c>
      <c r="D5" s="10" t="inlineStr">
        <is>
          <t>06-29 12:03</t>
        </is>
      </c>
      <c r="E5" s="10" t="inlineStr">
        <is>
          <t>06-29 12:06</t>
        </is>
      </c>
      <c r="F5" s="10" t="n">
        <v>3</v>
      </c>
      <c r="G5" s="10" t="n">
        <v>12</v>
      </c>
      <c r="H5" s="10" t="n">
        <v>0.57</v>
      </c>
      <c r="I5" s="10" t="n">
        <v>0.5649999999999999</v>
      </c>
      <c r="J5" s="10" t="n">
        <v>25.89</v>
      </c>
      <c r="K5" s="10" t="n"/>
      <c r="L5" s="6" t="n"/>
      <c r="M5" s="6" t="n">
        <v>-0.008800000000000001</v>
      </c>
      <c r="N5" s="4" t="n">
        <v>-2.5</v>
      </c>
      <c r="O5" s="10" t="inlineStr">
        <is>
          <t>Old rule (removed)</t>
        </is>
      </c>
      <c r="P5" s="10" t="inlineStr">
        <is>
          <t>Closed</t>
        </is>
      </c>
      <c r="Q5" s="10" t="inlineStr"/>
      <c r="R5" s="4" t="n"/>
    </row>
    <row r="6">
      <c r="A6" s="9" t="n">
        <v>46202</v>
      </c>
      <c r="B6" s="10" t="inlineStr">
        <is>
          <t>IWM</t>
        </is>
      </c>
      <c r="C6" s="10" t="inlineStr">
        <is>
          <t>PUT</t>
        </is>
      </c>
      <c r="D6" s="10" t="inlineStr">
        <is>
          <t>06-29 12:18</t>
        </is>
      </c>
      <c r="E6" s="10" t="inlineStr">
        <is>
          <t>06-29 12:23</t>
        </is>
      </c>
      <c r="F6" s="10" t="n">
        <v>4</v>
      </c>
      <c r="G6" s="10" t="n">
        <v>12</v>
      </c>
      <c r="H6" s="10" t="n">
        <v>0.38</v>
      </c>
      <c r="I6" s="10" t="n">
        <v>0.33</v>
      </c>
      <c r="J6" s="10" t="n">
        <v>27.75</v>
      </c>
      <c r="K6" s="10" t="n"/>
      <c r="L6" s="6" t="n"/>
      <c r="M6" s="6" t="n">
        <v>-0.1316</v>
      </c>
      <c r="N6" s="4" t="n">
        <v>-35</v>
      </c>
      <c r="O6" s="10" t="inlineStr">
        <is>
          <t>Old rule (removed)</t>
        </is>
      </c>
      <c r="P6" s="10" t="inlineStr">
        <is>
          <t>Closed</t>
        </is>
      </c>
      <c r="Q6" s="10" t="inlineStr"/>
      <c r="R6" s="4" t="n"/>
    </row>
    <row r="7">
      <c r="A7" s="9" t="n">
        <v>46202</v>
      </c>
      <c r="B7" s="10" t="inlineStr">
        <is>
          <t>QQQ</t>
        </is>
      </c>
      <c r="C7" s="10" t="inlineStr">
        <is>
          <t>CALL</t>
        </is>
      </c>
      <c r="D7" s="10" t="inlineStr">
        <is>
          <t>06-29 12:55</t>
        </is>
      </c>
      <c r="E7" s="10" t="inlineStr">
        <is>
          <t>06-29 13:05</t>
        </is>
      </c>
      <c r="F7" s="10" t="n">
        <v>10</v>
      </c>
      <c r="G7" s="10" t="n">
        <v>12</v>
      </c>
      <c r="H7" s="10" t="n">
        <v>0.52</v>
      </c>
      <c r="I7" s="10" t="n">
        <v>0.5049999999999999</v>
      </c>
      <c r="J7" s="10" t="n">
        <v>25.21</v>
      </c>
      <c r="K7" s="10" t="n"/>
      <c r="L7" s="6" t="n"/>
      <c r="M7" s="6" t="n">
        <v>-0.0288</v>
      </c>
      <c r="N7" s="4" t="n">
        <v>-7.5</v>
      </c>
      <c r="O7" s="10" t="inlineStr">
        <is>
          <t>Old rule (removed)</t>
        </is>
      </c>
      <c r="P7" s="10" t="inlineStr">
        <is>
          <t>Closed</t>
        </is>
      </c>
      <c r="Q7" s="10" t="inlineStr"/>
      <c r="R7" s="4" t="n"/>
    </row>
    <row r="8">
      <c r="A8" s="9" t="n">
        <v>46202</v>
      </c>
      <c r="B8" s="10" t="inlineStr">
        <is>
          <t>SPY</t>
        </is>
      </c>
      <c r="C8" s="10" t="inlineStr">
        <is>
          <t>CALL</t>
        </is>
      </c>
      <c r="D8" s="10" t="inlineStr">
        <is>
          <t>06-29 13:15</t>
        </is>
      </c>
      <c r="E8" s="10" t="inlineStr">
        <is>
          <t>06-29 13:19</t>
        </is>
      </c>
      <c r="F8" s="10" t="n">
        <v>4</v>
      </c>
      <c r="G8" s="10" t="n">
        <v>13</v>
      </c>
      <c r="H8" s="10" t="n">
        <v>0.45</v>
      </c>
      <c r="I8" s="10" t="n">
        <v>0.45</v>
      </c>
      <c r="J8" s="10" t="n">
        <v>39.74</v>
      </c>
      <c r="K8" s="10" t="n"/>
      <c r="L8" s="6" t="n"/>
      <c r="M8" s="6" t="n">
        <v>-0</v>
      </c>
      <c r="N8" s="4" t="n">
        <v>-0</v>
      </c>
      <c r="O8" s="10" t="inlineStr">
        <is>
          <t>Old rule (removed)</t>
        </is>
      </c>
      <c r="P8" s="10" t="inlineStr">
        <is>
          <t>Closed</t>
        </is>
      </c>
      <c r="Q8" s="10" t="inlineStr"/>
      <c r="R8" s="4" t="n"/>
    </row>
    <row r="9">
      <c r="A9" s="9" t="n">
        <v>46202</v>
      </c>
      <c r="B9" s="10" t="inlineStr">
        <is>
          <t>SPY</t>
        </is>
      </c>
      <c r="C9" s="10" t="inlineStr">
        <is>
          <t>CALL</t>
        </is>
      </c>
      <c r="D9" s="10" t="inlineStr">
        <is>
          <t>06-29 13:47</t>
        </is>
      </c>
      <c r="E9" s="10" t="inlineStr">
        <is>
          <t>06-29 13:55</t>
        </is>
      </c>
      <c r="F9" s="10" t="n">
        <v>8</v>
      </c>
      <c r="G9" s="10" t="n">
        <v>13</v>
      </c>
      <c r="H9" s="10" t="n">
        <v>0.49</v>
      </c>
      <c r="I9" s="10" t="n">
        <v>0.5399999999999998</v>
      </c>
      <c r="J9" s="10" t="n">
        <v>28.48</v>
      </c>
      <c r="K9" s="10" t="n"/>
      <c r="L9" s="6" t="n"/>
      <c r="M9" s="6" t="n">
        <v>0.102</v>
      </c>
      <c r="N9" s="4" t="n">
        <v>30</v>
      </c>
      <c r="O9" s="10" t="inlineStr">
        <is>
          <t>Old rule (removed)</t>
        </is>
      </c>
      <c r="P9" s="10" t="inlineStr">
        <is>
          <t>Closed</t>
        </is>
      </c>
      <c r="Q9" s="10" t="inlineStr"/>
      <c r="R9" s="4" t="n"/>
    </row>
    <row r="10">
      <c r="A10" s="9" t="n">
        <v>46202</v>
      </c>
      <c r="B10" s="10" t="inlineStr">
        <is>
          <t>QQQ</t>
        </is>
      </c>
      <c r="C10" s="10" t="inlineStr">
        <is>
          <t>CALL</t>
        </is>
      </c>
      <c r="D10" s="10" t="inlineStr">
        <is>
          <t>06-29 15:52</t>
        </is>
      </c>
      <c r="E10" s="10" t="inlineStr"/>
      <c r="F10" s="10" t="n"/>
      <c r="G10" s="10" t="n">
        <v>15</v>
      </c>
      <c r="H10" s="10" t="n">
        <v>0.52</v>
      </c>
      <c r="I10" s="10" t="n"/>
      <c r="J10" s="10" t="n">
        <v>32.22</v>
      </c>
      <c r="K10" s="10" t="n"/>
      <c r="L10" s="6" t="n"/>
      <c r="M10" s="6" t="n"/>
      <c r="N10" s="4" t="n"/>
      <c r="O10" s="10" t="inlineStr"/>
      <c r="P10" s="10" t="inlineStr">
        <is>
          <t>Orphaned/manual</t>
        </is>
      </c>
      <c r="Q10" s="10" t="inlineStr"/>
      <c r="R10" s="4" t="n"/>
    </row>
    <row r="11">
      <c r="A11" s="9" t="n">
        <v>46203</v>
      </c>
      <c r="B11" s="10" t="inlineStr">
        <is>
          <t>QQQ</t>
        </is>
      </c>
      <c r="C11" s="10" t="inlineStr">
        <is>
          <t>CALL</t>
        </is>
      </c>
      <c r="D11" s="10" t="inlineStr">
        <is>
          <t>06-30 10:06</t>
        </is>
      </c>
      <c r="E11" s="10" t="inlineStr">
        <is>
          <t>06-30 11:58</t>
        </is>
      </c>
      <c r="F11" s="10" t="n">
        <v>112</v>
      </c>
      <c r="G11" s="10" t="n">
        <v>10</v>
      </c>
      <c r="H11" s="10" t="n">
        <v>0.52</v>
      </c>
      <c r="I11" s="10" t="n">
        <v>0.73</v>
      </c>
      <c r="J11" s="10" t="n">
        <v>50.77</v>
      </c>
      <c r="K11" s="10" t="n"/>
      <c r="L11" s="6" t="n">
        <v>0.5385</v>
      </c>
      <c r="M11" s="6" t="n">
        <v>0.4038</v>
      </c>
      <c r="N11" s="4" t="n">
        <v>105</v>
      </c>
      <c r="O11" s="10" t="inlineStr">
        <is>
          <t>Trail (new)</t>
        </is>
      </c>
      <c r="P11" s="10" t="inlineStr">
        <is>
          <t>Closed</t>
        </is>
      </c>
      <c r="Q11" s="10" t="inlineStr"/>
      <c r="R11" s="4" t="n"/>
    </row>
    <row r="12">
      <c r="A12" s="9" t="n">
        <v>46203</v>
      </c>
      <c r="B12" s="10" t="inlineStr">
        <is>
          <t>SPY</t>
        </is>
      </c>
      <c r="C12" s="10" t="inlineStr">
        <is>
          <t>CALL</t>
        </is>
      </c>
      <c r="D12" s="10" t="inlineStr">
        <is>
          <t>06-30 10:07</t>
        </is>
      </c>
      <c r="E12" s="10" t="inlineStr">
        <is>
          <t>06-30 12:09</t>
        </is>
      </c>
      <c r="F12" s="10" t="n">
        <v>122</v>
      </c>
      <c r="G12" s="10" t="n">
        <v>10</v>
      </c>
      <c r="H12" s="10" t="n">
        <v>0.52</v>
      </c>
      <c r="I12" s="10" t="n">
        <v>0.7549999999999999</v>
      </c>
      <c r="J12" s="10" t="n">
        <v>32.16</v>
      </c>
      <c r="K12" s="10" t="n"/>
      <c r="L12" s="6" t="n">
        <v>0.5192</v>
      </c>
      <c r="M12" s="6" t="n">
        <v>0.4519</v>
      </c>
      <c r="N12" s="4" t="n">
        <v>117.5</v>
      </c>
      <c r="O12" s="10" t="inlineStr">
        <is>
          <t>Trail (new)</t>
        </is>
      </c>
      <c r="P12" s="10" t="inlineStr">
        <is>
          <t>Closed</t>
        </is>
      </c>
      <c r="Q12" s="10" t="inlineStr"/>
      <c r="R12" s="4" t="n"/>
    </row>
    <row r="13">
      <c r="A13" s="9" t="n">
        <v>46203</v>
      </c>
      <c r="B13" s="10" t="inlineStr">
        <is>
          <t>IWM</t>
        </is>
      </c>
      <c r="C13" s="10" t="inlineStr">
        <is>
          <t>CALL</t>
        </is>
      </c>
      <c r="D13" s="10" t="inlineStr">
        <is>
          <t>06-30 10:33</t>
        </is>
      </c>
      <c r="E13" s="10" t="inlineStr">
        <is>
          <t>06-30 13:32</t>
        </is>
      </c>
      <c r="F13" s="10" t="n">
        <v>179</v>
      </c>
      <c r="G13" s="10" t="n">
        <v>10</v>
      </c>
      <c r="H13" s="10" t="n">
        <v>0.417143</v>
      </c>
      <c r="I13" s="10" t="n">
        <v>0.6100000000000001</v>
      </c>
      <c r="J13" s="10" t="n">
        <v>25.02</v>
      </c>
      <c r="K13" s="10" t="n"/>
      <c r="L13" s="6" t="n">
        <v>0.5223</v>
      </c>
      <c r="M13" s="6" t="n">
        <v>0.4623</v>
      </c>
      <c r="N13" s="4" t="n">
        <v>135</v>
      </c>
      <c r="O13" s="10" t="inlineStr">
        <is>
          <t>Trail (new)</t>
        </is>
      </c>
      <c r="P13" s="10" t="inlineStr">
        <is>
          <t>Closed</t>
        </is>
      </c>
      <c r="Q13" s="10" t="inlineStr"/>
      <c r="R13" s="4" t="n"/>
    </row>
    <row r="14">
      <c r="A14" s="9" t="n">
        <v>46203</v>
      </c>
      <c r="B14" s="10" t="inlineStr">
        <is>
          <t>QQQ</t>
        </is>
      </c>
      <c r="C14" s="10" t="inlineStr">
        <is>
          <t>CALL</t>
        </is>
      </c>
      <c r="D14" s="10" t="inlineStr">
        <is>
          <t>06-30 11:59</t>
        </is>
      </c>
      <c r="E14" s="10" t="inlineStr">
        <is>
          <t>06-30 13:13</t>
        </is>
      </c>
      <c r="F14" s="10" t="n">
        <v>74</v>
      </c>
      <c r="G14" s="10" t="n">
        <v>11</v>
      </c>
      <c r="H14" s="10" t="n">
        <v>0.44</v>
      </c>
      <c r="I14" s="10" t="n">
        <v>0.6599999999999995</v>
      </c>
      <c r="J14" s="10" t="n">
        <v>32.26</v>
      </c>
      <c r="K14" s="10" t="n"/>
      <c r="L14" s="6" t="n">
        <v>0.5682</v>
      </c>
      <c r="M14" s="6" t="n">
        <v>0.5</v>
      </c>
      <c r="N14" s="4" t="n">
        <v>132</v>
      </c>
      <c r="O14" s="10" t="inlineStr">
        <is>
          <t>Trail (new)</t>
        </is>
      </c>
      <c r="P14" s="10" t="inlineStr">
        <is>
          <t>Closed</t>
        </is>
      </c>
      <c r="Q14" s="10" t="inlineStr"/>
      <c r="R14" s="4" t="n"/>
    </row>
    <row r="15">
      <c r="A15" s="9" t="n">
        <v>46203</v>
      </c>
      <c r="B15" s="10" t="inlineStr">
        <is>
          <t>SPY</t>
        </is>
      </c>
      <c r="C15" s="10" t="inlineStr">
        <is>
          <t>CALL</t>
        </is>
      </c>
      <c r="D15" s="10" t="inlineStr">
        <is>
          <t>06-30 12:10</t>
        </is>
      </c>
      <c r="E15" s="10" t="inlineStr">
        <is>
          <t>06-30 15:19</t>
        </is>
      </c>
      <c r="F15" s="10" t="n">
        <v>188</v>
      </c>
      <c r="G15" s="10" t="n">
        <v>12</v>
      </c>
      <c r="H15" s="10" t="n">
        <v>0.48</v>
      </c>
      <c r="I15" s="10" t="n">
        <v>0.74</v>
      </c>
      <c r="J15" s="10" t="n">
        <v>39.31</v>
      </c>
      <c r="K15" s="10" t="n"/>
      <c r="L15" s="6" t="n">
        <v>0.6457999999999999</v>
      </c>
      <c r="M15" s="6" t="n">
        <v>0.5417000000000001</v>
      </c>
      <c r="N15" s="4" t="n">
        <v>156</v>
      </c>
      <c r="O15" s="10" t="inlineStr">
        <is>
          <t>Trail (new)</t>
        </is>
      </c>
      <c r="P15" s="10" t="inlineStr">
        <is>
          <t>Closed</t>
        </is>
      </c>
      <c r="Q15" s="10" t="inlineStr"/>
      <c r="R15" s="4" t="n"/>
    </row>
    <row r="16">
      <c r="A16" s="9" t="n">
        <v>46203</v>
      </c>
      <c r="B16" s="10" t="inlineStr">
        <is>
          <t>QQQ</t>
        </is>
      </c>
      <c r="C16" s="10" t="inlineStr">
        <is>
          <t>CALL</t>
        </is>
      </c>
      <c r="D16" s="10" t="inlineStr">
        <is>
          <t>06-30 13:14</t>
        </is>
      </c>
      <c r="E16" s="10" t="inlineStr"/>
      <c r="F16" s="10" t="n"/>
      <c r="G16" s="10" t="n">
        <v>13</v>
      </c>
      <c r="H16" s="10" t="n">
        <v>0.54</v>
      </c>
      <c r="I16" s="10" t="n"/>
      <c r="J16" s="10" t="n">
        <v>31.08</v>
      </c>
      <c r="K16" s="10" t="n"/>
      <c r="L16" s="6" t="n"/>
      <c r="M16" s="6" t="n"/>
      <c r="N16" s="4" t="n"/>
      <c r="O16" s="10" t="inlineStr"/>
      <c r="P16" s="10" t="inlineStr">
        <is>
          <t>Orphaned/manual</t>
        </is>
      </c>
      <c r="Q16" s="10" t="inlineStr"/>
      <c r="R16" s="4" t="n"/>
    </row>
    <row r="17">
      <c r="A17" s="9" t="n">
        <v>46203</v>
      </c>
      <c r="B17" s="10" t="inlineStr">
        <is>
          <t>IWM</t>
        </is>
      </c>
      <c r="C17" s="10" t="inlineStr">
        <is>
          <t>CALL</t>
        </is>
      </c>
      <c r="D17" s="10" t="inlineStr">
        <is>
          <t>06-30 13:36</t>
        </is>
      </c>
      <c r="E17" s="10" t="inlineStr"/>
      <c r="F17" s="10" t="n"/>
      <c r="G17" s="10" t="n">
        <v>13</v>
      </c>
      <c r="H17" s="10" t="n">
        <v>0.24</v>
      </c>
      <c r="I17" s="10" t="n"/>
      <c r="J17" s="10" t="n">
        <v>26.58</v>
      </c>
      <c r="K17" s="10" t="n"/>
      <c r="L17" s="6" t="n"/>
      <c r="M17" s="6" t="n"/>
      <c r="N17" s="4" t="n"/>
      <c r="O17" s="10" t="inlineStr"/>
      <c r="P17" s="10" t="inlineStr">
        <is>
          <t>Orphaned/manual</t>
        </is>
      </c>
      <c r="Q17" s="10" t="inlineStr"/>
      <c r="R17" s="4" t="n"/>
    </row>
    <row r="18">
      <c r="A18" s="9" t="n">
        <v>46204</v>
      </c>
      <c r="B18" s="10" t="inlineStr">
        <is>
          <t>IWM</t>
        </is>
      </c>
      <c r="C18" s="10" t="inlineStr">
        <is>
          <t>CALL</t>
        </is>
      </c>
      <c r="D18" s="10" t="inlineStr">
        <is>
          <t>07-01 10:02</t>
        </is>
      </c>
      <c r="E18" s="10" t="inlineStr">
        <is>
          <t>07-01 10:14</t>
        </is>
      </c>
      <c r="F18" s="10" t="n">
        <v>11</v>
      </c>
      <c r="G18" s="10" t="n">
        <v>10</v>
      </c>
      <c r="H18" s="10" t="n">
        <v>0.46</v>
      </c>
      <c r="I18" s="10" t="n">
        <v>0.6799999999999999</v>
      </c>
      <c r="J18" s="10" t="n">
        <v>26.56</v>
      </c>
      <c r="K18" s="10" t="n"/>
      <c r="L18" s="6" t="n">
        <v>0.5435</v>
      </c>
      <c r="M18" s="6" t="n">
        <v>0.4783</v>
      </c>
      <c r="N18" s="4" t="n">
        <v>132</v>
      </c>
      <c r="O18" s="10" t="inlineStr">
        <is>
          <t>Trail (new)</t>
        </is>
      </c>
      <c r="P18" s="10" t="inlineStr">
        <is>
          <t>Closed</t>
        </is>
      </c>
      <c r="Q18" s="10" t="inlineStr"/>
      <c r="R18" s="4" t="n"/>
    </row>
    <row r="19">
      <c r="A19" s="9" t="n">
        <v>46204</v>
      </c>
      <c r="B19" s="10" t="inlineStr">
        <is>
          <t>SPY</t>
        </is>
      </c>
      <c r="C19" s="10" t="inlineStr">
        <is>
          <t>CALL</t>
        </is>
      </c>
      <c r="D19" s="10" t="inlineStr">
        <is>
          <t>07-01 10:08</t>
        </is>
      </c>
      <c r="E19" s="10" t="inlineStr">
        <is>
          <t>07-01 11:08</t>
        </is>
      </c>
      <c r="F19" s="10" t="n">
        <v>61</v>
      </c>
      <c r="G19" s="10" t="n">
        <v>10</v>
      </c>
      <c r="H19" s="10" t="n">
        <v>0.49</v>
      </c>
      <c r="I19" s="10" t="n">
        <v>0.7050000000000005</v>
      </c>
      <c r="J19" s="10" t="n">
        <v>25.34</v>
      </c>
      <c r="K19" s="10" t="n"/>
      <c r="L19" s="6" t="n">
        <v>0.5102</v>
      </c>
      <c r="M19" s="6" t="n">
        <v>0.4388</v>
      </c>
      <c r="N19" s="4" t="n">
        <v>129</v>
      </c>
      <c r="O19" s="10" t="inlineStr">
        <is>
          <t>Trail (new)</t>
        </is>
      </c>
      <c r="P19" s="10" t="inlineStr">
        <is>
          <t>Closed</t>
        </is>
      </c>
      <c r="Q19" s="10" t="inlineStr"/>
      <c r="R19" s="4" t="n"/>
    </row>
    <row r="20">
      <c r="A20" s="9" t="n">
        <v>46204</v>
      </c>
      <c r="B20" s="10" t="inlineStr">
        <is>
          <t>QQQ</t>
        </is>
      </c>
      <c r="C20" s="10" t="inlineStr">
        <is>
          <t>CALL</t>
        </is>
      </c>
      <c r="D20" s="10" t="inlineStr">
        <is>
          <t>07-01 11:24</t>
        </is>
      </c>
      <c r="E20" s="10" t="inlineStr">
        <is>
          <t>07-01 12:57</t>
        </is>
      </c>
      <c r="F20" s="10" t="n">
        <v>93</v>
      </c>
      <c r="G20" s="10" t="n">
        <v>11</v>
      </c>
      <c r="H20" s="10" t="n">
        <v>0.52</v>
      </c>
      <c r="I20" s="10" t="n">
        <v>0.15</v>
      </c>
      <c r="J20" s="10" t="n">
        <v>25.48</v>
      </c>
      <c r="K20" s="10" t="n"/>
      <c r="L20" s="6" t="n"/>
      <c r="M20" s="6" t="n">
        <v>-0.7115</v>
      </c>
      <c r="N20" s="4" t="n">
        <v>-185</v>
      </c>
      <c r="O20" s="10" t="inlineStr">
        <is>
          <t>Hard Stop</t>
        </is>
      </c>
      <c r="P20" s="10" t="inlineStr">
        <is>
          <t>Closed</t>
        </is>
      </c>
      <c r="Q20" s="10" t="inlineStr"/>
      <c r="R20" s="4" t="n"/>
    </row>
    <row r="21">
      <c r="A21" s="9" t="n">
        <v>46204</v>
      </c>
      <c r="B21" s="10" t="inlineStr">
        <is>
          <t>IWM</t>
        </is>
      </c>
      <c r="C21" s="10" t="inlineStr">
        <is>
          <t>CALL</t>
        </is>
      </c>
      <c r="D21" s="10" t="inlineStr">
        <is>
          <t>07-01 11:39</t>
        </is>
      </c>
      <c r="E21" s="10" t="inlineStr">
        <is>
          <t>07-01 13:34</t>
        </is>
      </c>
      <c r="F21" s="10" t="n">
        <v>115</v>
      </c>
      <c r="G21" s="10" t="n">
        <v>11</v>
      </c>
      <c r="H21" s="10" t="n">
        <v>0.43</v>
      </c>
      <c r="I21" s="10" t="n">
        <v>0.11</v>
      </c>
      <c r="J21" s="10" t="n">
        <v>25.72</v>
      </c>
      <c r="K21" s="10" t="n"/>
      <c r="L21" s="6" t="n"/>
      <c r="M21" s="6" t="n">
        <v>-0.7442</v>
      </c>
      <c r="N21" s="4" t="n">
        <v>-192</v>
      </c>
      <c r="O21" s="10" t="inlineStr">
        <is>
          <t>Hard Stop</t>
        </is>
      </c>
      <c r="P21" s="10" t="inlineStr">
        <is>
          <t>Closed</t>
        </is>
      </c>
      <c r="Q21" s="10" t="inlineStr"/>
      <c r="R21" s="4" t="n"/>
    </row>
    <row r="22">
      <c r="A22" s="9" t="n">
        <v>46204</v>
      </c>
      <c r="B22" s="10" t="inlineStr">
        <is>
          <t>SPY</t>
        </is>
      </c>
      <c r="C22" s="10" t="inlineStr">
        <is>
          <t>CALL</t>
        </is>
      </c>
      <c r="D22" s="10" t="inlineStr">
        <is>
          <t>07-01 13:00</t>
        </is>
      </c>
      <c r="E22" s="10" t="inlineStr">
        <is>
          <t>07-01 14:55</t>
        </is>
      </c>
      <c r="F22" s="10" t="n">
        <v>115</v>
      </c>
      <c r="G22" s="10" t="n">
        <v>13</v>
      </c>
      <c r="H22" s="10" t="n">
        <v>0.38</v>
      </c>
      <c r="I22" s="10" t="n">
        <v>0.11</v>
      </c>
      <c r="J22" s="10" t="n">
        <v>29.73</v>
      </c>
      <c r="K22" s="10" t="n"/>
      <c r="L22" s="6" t="n"/>
      <c r="M22" s="6" t="n">
        <v>-0.7105</v>
      </c>
      <c r="N22" s="4" t="n">
        <v>-189</v>
      </c>
      <c r="O22" s="10" t="inlineStr">
        <is>
          <t>Hard Stop</t>
        </is>
      </c>
      <c r="P22" s="10" t="inlineStr">
        <is>
          <t>Closed</t>
        </is>
      </c>
      <c r="Q22" s="10" t="inlineStr"/>
      <c r="R22" s="4" t="n"/>
    </row>
    <row r="23">
      <c r="A23" s="9" t="n">
        <v>46209</v>
      </c>
      <c r="B23" s="10" t="inlineStr">
        <is>
          <t>SPY</t>
        </is>
      </c>
      <c r="C23" s="10" t="inlineStr">
        <is>
          <t>CALL</t>
        </is>
      </c>
      <c r="D23" s="10" t="inlineStr">
        <is>
          <t>07-06 11:32</t>
        </is>
      </c>
      <c r="E23" s="10" t="inlineStr">
        <is>
          <t>07-06 11:54</t>
        </is>
      </c>
      <c r="F23" s="10" t="n">
        <v>22</v>
      </c>
      <c r="G23" s="10" t="n">
        <v>11</v>
      </c>
      <c r="H23" s="10" t="n">
        <v>0.4</v>
      </c>
      <c r="I23" s="10" t="n">
        <v>0.33</v>
      </c>
      <c r="J23" s="10" t="n">
        <v>25.6</v>
      </c>
      <c r="K23" s="10" t="n">
        <v>8.68</v>
      </c>
      <c r="L23" s="6" t="n">
        <v>0</v>
      </c>
      <c r="M23" s="6" t="n">
        <v>-0.175</v>
      </c>
      <c r="N23" s="4" t="n">
        <v>-49</v>
      </c>
      <c r="O23" s="10" t="inlineStr">
        <is>
          <t>Invalidation</t>
        </is>
      </c>
      <c r="P23" s="10" t="inlineStr">
        <is>
          <t>Closed</t>
        </is>
      </c>
      <c r="Q23" s="10" t="inlineStr"/>
      <c r="R23" s="4" t="n"/>
    </row>
    <row r="24">
      <c r="A24" s="9" t="n">
        <v>46209</v>
      </c>
      <c r="B24" s="10" t="inlineStr">
        <is>
          <t>SPY</t>
        </is>
      </c>
      <c r="C24" s="10" t="inlineStr">
        <is>
          <t>CALL</t>
        </is>
      </c>
      <c r="D24" s="10" t="inlineStr">
        <is>
          <t>07-06 13:48</t>
        </is>
      </c>
      <c r="E24" s="10" t="inlineStr">
        <is>
          <t>07-06 13:56</t>
        </is>
      </c>
      <c r="F24" s="10" t="n">
        <v>8</v>
      </c>
      <c r="G24" s="10" t="n">
        <v>13</v>
      </c>
      <c r="H24" s="10" t="n">
        <v>0.51</v>
      </c>
      <c r="I24" s="10" t="n">
        <v>0.4299999999999999</v>
      </c>
      <c r="J24" s="10" t="n">
        <v>40.16</v>
      </c>
      <c r="K24" s="10" t="n">
        <v>5.13</v>
      </c>
      <c r="L24" s="6" t="n">
        <v>0.0588</v>
      </c>
      <c r="M24" s="6" t="n">
        <v>-0.1569</v>
      </c>
      <c r="N24" s="4" t="n">
        <v>-40</v>
      </c>
      <c r="O24" s="10" t="inlineStr">
        <is>
          <t>Invalidation</t>
        </is>
      </c>
      <c r="P24" s="10" t="inlineStr">
        <is>
          <t>Closed</t>
        </is>
      </c>
      <c r="Q24" s="10" t="inlineStr"/>
      <c r="R24" s="4" t="n"/>
    </row>
    <row r="25">
      <c r="A25" s="9" t="n">
        <v>46209</v>
      </c>
      <c r="B25" s="10" t="inlineStr">
        <is>
          <t>SPY</t>
        </is>
      </c>
      <c r="C25" s="10" t="inlineStr">
        <is>
          <t>CALL</t>
        </is>
      </c>
      <c r="D25" s="10" t="inlineStr">
        <is>
          <t>07-06 14:19</t>
        </is>
      </c>
      <c r="E25" s="10" t="inlineStr">
        <is>
          <t>07-06 14:30</t>
        </is>
      </c>
      <c r="F25" s="10" t="n">
        <v>11</v>
      </c>
      <c r="G25" s="10" t="n">
        <v>14</v>
      </c>
      <c r="H25" s="10" t="n">
        <v>0.45</v>
      </c>
      <c r="I25" s="10" t="n">
        <v>0.47</v>
      </c>
      <c r="J25" s="10" t="n">
        <v>30.67</v>
      </c>
      <c r="K25" s="10" t="n">
        <v>2.76</v>
      </c>
      <c r="L25" s="6" t="n">
        <v>0.1778</v>
      </c>
      <c r="M25" s="6" t="n">
        <v>0.0444</v>
      </c>
      <c r="N25" s="4" t="n">
        <v>12</v>
      </c>
      <c r="O25" s="10" t="inlineStr">
        <is>
          <t>Invalidation</t>
        </is>
      </c>
      <c r="P25" s="10" t="inlineStr">
        <is>
          <t>Closed</t>
        </is>
      </c>
      <c r="Q25" s="10" t="inlineStr"/>
      <c r="R25" s="4" t="n"/>
    </row>
    <row r="26">
      <c r="A26" s="9" t="n">
        <v>46209</v>
      </c>
      <c r="B26" s="10" t="inlineStr">
        <is>
          <t>SPY</t>
        </is>
      </c>
      <c r="C26" s="10" t="inlineStr">
        <is>
          <t>CALL</t>
        </is>
      </c>
      <c r="D26" s="10" t="inlineStr">
        <is>
          <t>07-06 15:00</t>
        </is>
      </c>
      <c r="E26" s="10" t="inlineStr">
        <is>
          <t>07-06 15:09</t>
        </is>
      </c>
      <c r="F26" s="10" t="n">
        <v>10</v>
      </c>
      <c r="G26" s="10" t="n">
        <v>15</v>
      </c>
      <c r="H26" s="10" t="n">
        <v>0.31</v>
      </c>
      <c r="I26" s="10" t="n">
        <v>0.25</v>
      </c>
      <c r="J26" s="10" t="n">
        <v>25.99</v>
      </c>
      <c r="K26" s="10" t="n">
        <v>10.01</v>
      </c>
      <c r="L26" s="6" t="n">
        <v>0.0645</v>
      </c>
      <c r="M26" s="6" t="n">
        <v>-0.1935</v>
      </c>
      <c r="N26" s="4" t="n">
        <v>-54</v>
      </c>
      <c r="O26" s="10" t="inlineStr">
        <is>
          <t>Invalidation</t>
        </is>
      </c>
      <c r="P26" s="10" t="inlineStr">
        <is>
          <t>Closed</t>
        </is>
      </c>
      <c r="Q26" s="10" t="inlineStr"/>
      <c r="R26" s="4" t="n"/>
    </row>
    <row r="27">
      <c r="A27" s="9" t="n">
        <v>46210</v>
      </c>
      <c r="B27" s="10" t="inlineStr">
        <is>
          <t>SPY</t>
        </is>
      </c>
      <c r="C27" s="10" t="inlineStr">
        <is>
          <t>PUT</t>
        </is>
      </c>
      <c r="D27" s="10" t="inlineStr">
        <is>
          <t>07-07 10:19</t>
        </is>
      </c>
      <c r="E27" s="10" t="inlineStr">
        <is>
          <t>07-07 10:48</t>
        </is>
      </c>
      <c r="F27" s="10" t="n">
        <v>30</v>
      </c>
      <c r="G27" s="10" t="n">
        <v>10</v>
      </c>
      <c r="H27" s="10" t="n">
        <v>0.377143</v>
      </c>
      <c r="I27" s="10" t="n">
        <v>0.4500000000000002</v>
      </c>
      <c r="J27" s="10" t="n">
        <v>45.64</v>
      </c>
      <c r="K27" s="10" t="n">
        <v>0.7</v>
      </c>
      <c r="L27" s="6" t="n">
        <v>0.4848</v>
      </c>
      <c r="M27" s="6" t="n">
        <v>0.1932</v>
      </c>
      <c r="N27" s="4" t="n">
        <v>51</v>
      </c>
      <c r="O27" s="10" t="inlineStr">
        <is>
          <t>Invalidation</t>
        </is>
      </c>
      <c r="P27" s="10" t="inlineStr">
        <is>
          <t>Closed</t>
        </is>
      </c>
      <c r="Q27" s="10" t="inlineStr">
        <is>
          <t>MEDIUM 3/5 | ADX✓ slope✗ agree✓(QQQ+IWM) early✓ tape✗(6x)</t>
        </is>
      </c>
      <c r="R27" s="4" t="n"/>
    </row>
    <row r="28">
      <c r="A28" s="9" t="n">
        <v>46210</v>
      </c>
      <c r="B28" s="10" t="inlineStr">
        <is>
          <t>QQQ</t>
        </is>
      </c>
      <c r="C28" s="10" t="inlineStr">
        <is>
          <t>PUT</t>
        </is>
      </c>
      <c r="D28" s="10" t="inlineStr">
        <is>
          <t>07-07 10:20</t>
        </is>
      </c>
      <c r="E28" s="10" t="inlineStr">
        <is>
          <t>07-07 10:37</t>
        </is>
      </c>
      <c r="F28" s="10" t="n">
        <v>17</v>
      </c>
      <c r="G28" s="10" t="n">
        <v>10</v>
      </c>
      <c r="H28" s="10" t="n">
        <v>0.39</v>
      </c>
      <c r="I28" s="10" t="n">
        <v>0.5299999999999998</v>
      </c>
      <c r="J28" s="10" t="n">
        <v>36.28</v>
      </c>
      <c r="K28" s="10" t="n">
        <v>0.99</v>
      </c>
      <c r="L28" s="6" t="n">
        <v>0.5769</v>
      </c>
      <c r="M28" s="6" t="n">
        <v>0.359</v>
      </c>
      <c r="N28" s="4" t="n">
        <v>98</v>
      </c>
      <c r="O28" s="10" t="inlineStr">
        <is>
          <t>Trail (new)</t>
        </is>
      </c>
      <c r="P28" s="10" t="inlineStr">
        <is>
          <t>Closed</t>
        </is>
      </c>
      <c r="Q28" s="10" t="inlineStr">
        <is>
          <t>MEDIUM 3/5 | ADX✓ slope✗ agree✓(SPY+IWM) early✓ tape✗(8x)</t>
        </is>
      </c>
      <c r="R28" s="4" t="n"/>
    </row>
    <row r="29">
      <c r="A29" s="9" t="n">
        <v>46210</v>
      </c>
      <c r="B29" s="10" t="inlineStr">
        <is>
          <t>IWM</t>
        </is>
      </c>
      <c r="C29" s="10" t="inlineStr">
        <is>
          <t>PUT</t>
        </is>
      </c>
      <c r="D29" s="10" t="inlineStr">
        <is>
          <t>07-07 10:44</t>
        </is>
      </c>
      <c r="E29" s="10" t="inlineStr">
        <is>
          <t>07-07 10:47</t>
        </is>
      </c>
      <c r="F29" s="10" t="n">
        <v>3</v>
      </c>
      <c r="G29" s="10" t="n">
        <v>10</v>
      </c>
      <c r="H29" s="10" t="n">
        <v>0.45</v>
      </c>
      <c r="I29" s="10" t="n">
        <v>0.305</v>
      </c>
      <c r="J29" s="10" t="n">
        <v>26.31</v>
      </c>
      <c r="K29" s="10" t="n">
        <v>1</v>
      </c>
      <c r="L29" s="6" t="n">
        <v>0</v>
      </c>
      <c r="M29" s="6" t="n">
        <v>-0.3222</v>
      </c>
      <c r="N29" s="4" t="n">
        <v>-87</v>
      </c>
      <c r="O29" s="10" t="inlineStr">
        <is>
          <t>Invalidation</t>
        </is>
      </c>
      <c r="P29" s="10" t="inlineStr">
        <is>
          <t>Closed</t>
        </is>
      </c>
      <c r="Q29" s="10" t="inlineStr">
        <is>
          <t>MEDIUM 2/5 | ADX✗ slope✗ agree✓(QQQ) early✓ tape✗(8x)</t>
        </is>
      </c>
      <c r="R29" s="4" t="n"/>
    </row>
    <row r="30">
      <c r="A30" s="9" t="n">
        <v>46210</v>
      </c>
      <c r="B30" s="10" t="inlineStr">
        <is>
          <t>SPY</t>
        </is>
      </c>
      <c r="C30" s="10" t="inlineStr">
        <is>
          <t>PUT</t>
        </is>
      </c>
      <c r="D30" s="10" t="inlineStr">
        <is>
          <t>07-07 12:09</t>
        </is>
      </c>
      <c r="E30" s="10" t="inlineStr">
        <is>
          <t>07-07 12:14</t>
        </is>
      </c>
      <c r="F30" s="10" t="n">
        <v>4</v>
      </c>
      <c r="G30" s="10" t="n">
        <v>12</v>
      </c>
      <c r="H30" s="10" t="n">
        <v>0.35</v>
      </c>
      <c r="I30" s="10" t="n">
        <v>0.2299999999999999</v>
      </c>
      <c r="J30" s="10" t="n">
        <v>35.34</v>
      </c>
      <c r="K30" s="10" t="n">
        <v>9.18</v>
      </c>
      <c r="L30" s="6" t="n">
        <v>0</v>
      </c>
      <c r="M30" s="6" t="n">
        <v>-0.3429</v>
      </c>
      <c r="N30" s="4" t="n">
        <v>-48</v>
      </c>
      <c r="O30" s="10" t="inlineStr">
        <is>
          <t>Invalidation</t>
        </is>
      </c>
      <c r="P30" s="10" t="inlineStr">
        <is>
          <t>Closed</t>
        </is>
      </c>
      <c r="Q30" s="10" t="inlineStr">
        <is>
          <t>LOW 0/5 | ADX✓ slope✓ agree✗ early✗ tape✗(22x) inv−2</t>
        </is>
      </c>
      <c r="R30" s="4" t="n"/>
    </row>
    <row r="31">
      <c r="A31" s="9" t="n">
        <v>46211</v>
      </c>
      <c r="B31" s="10" t="inlineStr">
        <is>
          <t>IWM</t>
        </is>
      </c>
      <c r="C31" s="10" t="inlineStr">
        <is>
          <t>PUT</t>
        </is>
      </c>
      <c r="D31" s="10" t="inlineStr">
        <is>
          <t>07-08 10:44</t>
        </is>
      </c>
      <c r="E31" s="10" t="inlineStr">
        <is>
          <t>07-08 10:54</t>
        </is>
      </c>
      <c r="F31" s="10" t="n">
        <v>10</v>
      </c>
      <c r="G31" s="10" t="n">
        <v>10</v>
      </c>
      <c r="H31" s="10" t="n">
        <v>0.407143</v>
      </c>
      <c r="I31" s="10" t="n">
        <v>0.425714</v>
      </c>
      <c r="J31" s="10" t="n">
        <v>25.91</v>
      </c>
      <c r="K31" s="10" t="n">
        <v>5.09</v>
      </c>
      <c r="L31" s="6" t="n">
        <v>0.2035</v>
      </c>
      <c r="M31" s="6" t="n">
        <v>0.04559999999999999</v>
      </c>
      <c r="N31" s="4" t="n">
        <v>13</v>
      </c>
      <c r="O31" s="10" t="inlineStr">
        <is>
          <t>Invalidation</t>
        </is>
      </c>
      <c r="P31" s="10" t="inlineStr">
        <is>
          <t>Closed</t>
        </is>
      </c>
      <c r="Q31" s="10" t="inlineStr">
        <is>
          <t>MEDIUM 3/5 | ADX✗ slope✓ agree✓(SPY+QQQ) early✓ tape✗(12x)</t>
        </is>
      </c>
      <c r="R31" s="4" t="n">
        <v>13.87</v>
      </c>
    </row>
    <row r="32">
      <c r="A32" s="9" t="n">
        <v>46211</v>
      </c>
      <c r="B32" s="10" t="inlineStr">
        <is>
          <t>SPY</t>
        </is>
      </c>
      <c r="C32" s="10" t="inlineStr">
        <is>
          <t>PUT</t>
        </is>
      </c>
      <c r="D32" s="10" t="inlineStr">
        <is>
          <t>07-08 10:52</t>
        </is>
      </c>
      <c r="E32" s="10" t="inlineStr">
        <is>
          <t>07-08 10:55</t>
        </is>
      </c>
      <c r="F32" s="10" t="n">
        <v>3</v>
      </c>
      <c r="G32" s="10" t="n">
        <v>10</v>
      </c>
      <c r="H32" s="10" t="n">
        <v>0.4</v>
      </c>
      <c r="I32" s="10" t="n">
        <v>0.3</v>
      </c>
      <c r="J32" s="10" t="n">
        <v>25.03</v>
      </c>
      <c r="K32" s="10" t="n">
        <v>7.44</v>
      </c>
      <c r="L32" s="6" t="n">
        <v>0</v>
      </c>
      <c r="M32" s="6" t="n">
        <v>-0.25</v>
      </c>
      <c r="N32" s="4" t="n">
        <v>-70</v>
      </c>
      <c r="O32" s="10" t="inlineStr">
        <is>
          <t>Invalidation</t>
        </is>
      </c>
      <c r="P32" s="10" t="inlineStr">
        <is>
          <t>Closed</t>
        </is>
      </c>
      <c r="Q32" s="10" t="inlineStr">
        <is>
          <t>MEDIUM 3/5 | ADX✗ slope✓ agree✓(QQQ) early✓ tape✗(12x)</t>
        </is>
      </c>
      <c r="R32" s="4" t="n">
        <v>12.46</v>
      </c>
    </row>
    <row r="33">
      <c r="A33" s="9" t="n">
        <v>46211</v>
      </c>
      <c r="B33" s="10" t="inlineStr">
        <is>
          <t>IWM</t>
        </is>
      </c>
      <c r="C33" s="10" t="inlineStr">
        <is>
          <t>PUT</t>
        </is>
      </c>
      <c r="D33" s="10" t="inlineStr">
        <is>
          <t>07-08 11:19</t>
        </is>
      </c>
      <c r="E33" s="10" t="inlineStr">
        <is>
          <t>07-08 11:36</t>
        </is>
      </c>
      <c r="F33" s="10" t="n">
        <v>17</v>
      </c>
      <c r="G33" s="10" t="n">
        <v>11</v>
      </c>
      <c r="H33" s="10" t="n">
        <v>0.43</v>
      </c>
      <c r="I33" s="10" t="n">
        <v>0.483333</v>
      </c>
      <c r="J33" s="10" t="n">
        <v>28.99</v>
      </c>
      <c r="K33" s="10" t="n">
        <v>1.85</v>
      </c>
      <c r="L33" s="6" t="n">
        <v>0.2558</v>
      </c>
      <c r="M33" s="6" t="n">
        <v>0.124</v>
      </c>
      <c r="N33" s="4" t="n">
        <v>16</v>
      </c>
      <c r="O33" s="10" t="inlineStr">
        <is>
          <t>Invalidation</t>
        </is>
      </c>
      <c r="P33" s="10" t="inlineStr">
        <is>
          <t>Closed</t>
        </is>
      </c>
      <c r="Q33" s="10" t="inlineStr">
        <is>
          <t>LOW -1/5 | ADX✗ slope✗ agree✓(SPY+QQQ) early✗ tape✗(18x) inv−2</t>
        </is>
      </c>
      <c r="R33" s="4" t="n">
        <v>6.32</v>
      </c>
    </row>
    <row r="34">
      <c r="A34" s="9" t="n">
        <v>46211</v>
      </c>
      <c r="B34" s="10" t="inlineStr">
        <is>
          <t>QQQ</t>
        </is>
      </c>
      <c r="C34" s="10" t="inlineStr">
        <is>
          <t>PUT</t>
        </is>
      </c>
      <c r="D34" s="10" t="inlineStr">
        <is>
          <t>07-08 11:29</t>
        </is>
      </c>
      <c r="E34" s="10" t="inlineStr">
        <is>
          <t>07-08 11:38</t>
        </is>
      </c>
      <c r="F34" s="10" t="n">
        <v>9</v>
      </c>
      <c r="G34" s="10" t="n">
        <v>11</v>
      </c>
      <c r="H34" s="10" t="n">
        <v>0.46</v>
      </c>
      <c r="I34" s="10" t="n">
        <v>0.33</v>
      </c>
      <c r="J34" s="10" t="n">
        <v>25.17</v>
      </c>
      <c r="K34" s="10" t="n">
        <v>10.56</v>
      </c>
      <c r="L34" s="6" t="n">
        <v>0.163</v>
      </c>
      <c r="M34" s="6" t="n">
        <v>-0.2826</v>
      </c>
      <c r="N34" s="4" t="n">
        <v>-39</v>
      </c>
      <c r="O34" s="10" t="inlineStr">
        <is>
          <t>Invalidation</t>
        </is>
      </c>
      <c r="P34" s="10" t="inlineStr">
        <is>
          <t>Closed</t>
        </is>
      </c>
      <c r="Q34" s="10" t="inlineStr">
        <is>
          <t>LOW 0/5 | ADX✗ slope✓ agree✓(SPY) early✗ tape✗(16x) inv−2</t>
        </is>
      </c>
      <c r="R34" s="4" t="n">
        <v>5.41</v>
      </c>
    </row>
    <row r="35">
      <c r="A35" s="9" t="n">
        <v>46211</v>
      </c>
      <c r="B35" s="10" t="inlineStr">
        <is>
          <t>SPY</t>
        </is>
      </c>
      <c r="C35" s="10" t="inlineStr">
        <is>
          <t>PUT</t>
        </is>
      </c>
      <c r="D35" s="10" t="inlineStr">
        <is>
          <t>07-08 11:31</t>
        </is>
      </c>
      <c r="E35" s="10" t="inlineStr">
        <is>
          <t>07-08 11:39</t>
        </is>
      </c>
      <c r="F35" s="10" t="n">
        <v>7</v>
      </c>
      <c r="G35" s="10" t="n">
        <v>11</v>
      </c>
      <c r="H35" s="10" t="n">
        <v>0.453333</v>
      </c>
      <c r="I35" s="10" t="n">
        <v>0.31</v>
      </c>
      <c r="J35" s="10" t="n">
        <v>25.2</v>
      </c>
      <c r="K35" s="10" t="n">
        <v>9.1</v>
      </c>
      <c r="L35" s="6" t="n">
        <v>0</v>
      </c>
      <c r="M35" s="6" t="n">
        <v>-0.3162</v>
      </c>
      <c r="N35" s="4" t="n">
        <v>-43</v>
      </c>
      <c r="O35" s="10" t="inlineStr">
        <is>
          <t>Invalidation</t>
        </is>
      </c>
      <c r="P35" s="10" t="inlineStr">
        <is>
          <t>Closed</t>
        </is>
      </c>
      <c r="Q35" s="10" t="inlineStr">
        <is>
          <t>LOW -1/5 | ADX✗ slope✓ agree✗ early✗ tape✗(20x) inv−2</t>
        </is>
      </c>
      <c r="R35" s="4" t="n">
        <v>5.05</v>
      </c>
    </row>
    <row r="36">
      <c r="A36" s="9" t="n">
        <v>46211</v>
      </c>
      <c r="B36" s="10" t="inlineStr">
        <is>
          <t>SPY</t>
        </is>
      </c>
      <c r="C36" s="10" t="inlineStr">
        <is>
          <t>CALL</t>
        </is>
      </c>
      <c r="D36" s="10" t="inlineStr">
        <is>
          <t>07-08 13:31</t>
        </is>
      </c>
      <c r="E36" s="10" t="inlineStr">
        <is>
          <t>07-08 13:39</t>
        </is>
      </c>
      <c r="F36" s="10" t="n">
        <v>8</v>
      </c>
      <c r="G36" s="10" t="n">
        <v>13</v>
      </c>
      <c r="H36" s="10" t="n">
        <v>0.41</v>
      </c>
      <c r="I36" s="10" t="n">
        <v>0.34</v>
      </c>
      <c r="J36" s="10" t="n">
        <v>33.53</v>
      </c>
      <c r="K36" s="10" t="n">
        <v>12.53</v>
      </c>
      <c r="L36" s="6" t="n">
        <v>0.0244</v>
      </c>
      <c r="M36" s="6" t="n">
        <v>-0.1707</v>
      </c>
      <c r="N36" s="4" t="n">
        <v>-21</v>
      </c>
      <c r="O36" s="10" t="inlineStr">
        <is>
          <t>Invalidation</t>
        </is>
      </c>
      <c r="P36" s="10" t="inlineStr">
        <is>
          <t>Closed</t>
        </is>
      </c>
      <c r="Q36" s="10" t="inlineStr">
        <is>
          <t>LOW -2/5 | ADX✓ slope✓ agree✓(QQQ+IWM) early✗ tape✗(33x) inv−5</t>
        </is>
      </c>
      <c r="R36" s="4" t="n">
        <v>6.43</v>
      </c>
    </row>
    <row r="37">
      <c r="A37" s="9" t="n">
        <v>46211</v>
      </c>
      <c r="B37" s="10" t="inlineStr">
        <is>
          <t>QQQ</t>
        </is>
      </c>
      <c r="C37" s="10" t="inlineStr">
        <is>
          <t>CALL</t>
        </is>
      </c>
      <c r="D37" s="10" t="inlineStr">
        <is>
          <t>07-08 13:39</t>
        </is>
      </c>
      <c r="E37" s="10" t="inlineStr">
        <is>
          <t>07-08 13:41</t>
        </is>
      </c>
      <c r="F37" s="10" t="n">
        <v>2</v>
      </c>
      <c r="G37" s="10" t="n">
        <v>13</v>
      </c>
      <c r="H37" s="10" t="n">
        <v>0.41</v>
      </c>
      <c r="I37" s="10" t="n">
        <v>0.37</v>
      </c>
      <c r="J37" s="10" t="n">
        <v>33.38</v>
      </c>
      <c r="K37" s="10" t="n">
        <v>11.56</v>
      </c>
      <c r="L37" s="6" t="n">
        <v>0</v>
      </c>
      <c r="M37" s="6" t="n">
        <v>-0.09759999999999999</v>
      </c>
      <c r="N37" s="4" t="n">
        <v>-12</v>
      </c>
      <c r="O37" s="10" t="inlineStr">
        <is>
          <t>Invalidation</t>
        </is>
      </c>
      <c r="P37" s="10" t="inlineStr">
        <is>
          <t>Closed</t>
        </is>
      </c>
      <c r="Q37" s="10" t="inlineStr">
        <is>
          <t>LOW -2/5 | ADX✓ slope✓ agree✓(SPY+IWM) early✗ tape✗(25x) inv−5</t>
        </is>
      </c>
      <c r="R37" s="4" t="n">
        <v>4.98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05/05</t>
        </is>
      </c>
      <c r="B2" s="11">
        <f>SUMPRODUCT((TEXT(Trades!$A$2:$A$37,"yyyy-mm-dd")="2026-05-05")*Trades!$N$2:$N$37)</f>
        <v/>
      </c>
      <c r="C2" s="11">
        <f>SUM($B$2:B2)</f>
        <v/>
      </c>
      <c r="D2">
        <f>SUMPRODUCT((TEXT(Trades!$A$2:$A$37,"yyyy-mm-dd")="2026-05-05")*(Trades!$P$2:$P$37="Closed")*1)</f>
        <v/>
      </c>
      <c r="E2">
        <f>SUMPRODUCT((TEXT(Trades!$A$2:$A$37,"yyyy-mm-dd")="2026-05-05")*(Trades!$N$2:$N$37&gt;0)*1)</f>
        <v/>
      </c>
      <c r="F2">
        <f>D2-E2</f>
        <v/>
      </c>
    </row>
    <row r="3">
      <c r="A3" t="inlineStr">
        <is>
          <t>05/15</t>
        </is>
      </c>
      <c r="B3" s="11">
        <f>SUMPRODUCT((TEXT(Trades!$A$2:$A$37,"yyyy-mm-dd")="2026-05-15")*Trades!$N$2:$N$37)</f>
        <v/>
      </c>
      <c r="C3" s="11">
        <f>SUM($B$2:B3)</f>
        <v/>
      </c>
      <c r="D3">
        <f>SUMPRODUCT((TEXT(Trades!$A$2:$A$37,"yyyy-mm-dd")="2026-05-15")*(Trades!$P$2:$P$37="Closed")*1)</f>
        <v/>
      </c>
      <c r="E3">
        <f>SUMPRODUCT((TEXT(Trades!$A$2:$A$37,"yyyy-mm-dd")="2026-05-15")*(Trades!$N$2:$N$37&gt;0)*1)</f>
        <v/>
      </c>
      <c r="F3">
        <f>D3-E3</f>
        <v/>
      </c>
    </row>
    <row r="4">
      <c r="A4" t="inlineStr">
        <is>
          <t>06/29</t>
        </is>
      </c>
      <c r="B4" s="11">
        <f>SUMPRODUCT((TEXT(Trades!$A$2:$A$37,"yyyy-mm-dd")="2026-06-29")*Trades!$N$2:$N$37)</f>
        <v/>
      </c>
      <c r="C4" s="11">
        <f>SUM($B$2:B4)</f>
        <v/>
      </c>
      <c r="D4">
        <f>SUMPRODUCT((TEXT(Trades!$A$2:$A$37,"yyyy-mm-dd")="2026-06-29")*(Trades!$P$2:$P$37="Closed")*1)</f>
        <v/>
      </c>
      <c r="E4">
        <f>SUMPRODUCT((TEXT(Trades!$A$2:$A$37,"yyyy-mm-dd")="2026-06-29")*(Trades!$N$2:$N$37&gt;0)*1)</f>
        <v/>
      </c>
      <c r="F4">
        <f>D4-E4</f>
        <v/>
      </c>
    </row>
    <row r="5">
      <c r="A5" t="inlineStr">
        <is>
          <t>06/30</t>
        </is>
      </c>
      <c r="B5" s="11">
        <f>SUMPRODUCT((TEXT(Trades!$A$2:$A$37,"yyyy-mm-dd")="2026-06-30")*Trades!$N$2:$N$37)</f>
        <v/>
      </c>
      <c r="C5" s="11">
        <f>SUM($B$2:B5)</f>
        <v/>
      </c>
      <c r="D5">
        <f>SUMPRODUCT((TEXT(Trades!$A$2:$A$37,"yyyy-mm-dd")="2026-06-30")*(Trades!$P$2:$P$37="Closed")*1)</f>
        <v/>
      </c>
      <c r="E5">
        <f>SUMPRODUCT((TEXT(Trades!$A$2:$A$37,"yyyy-mm-dd")="2026-06-30")*(Trades!$N$2:$N$37&gt;0)*1)</f>
        <v/>
      </c>
      <c r="F5">
        <f>D5-E5</f>
        <v/>
      </c>
    </row>
    <row r="6">
      <c r="A6" t="inlineStr">
        <is>
          <t>07/01</t>
        </is>
      </c>
      <c r="B6" s="11">
        <f>SUMPRODUCT((TEXT(Trades!$A$2:$A$37,"yyyy-mm-dd")="2026-07-01")*Trades!$N$2:$N$37)</f>
        <v/>
      </c>
      <c r="C6" s="11">
        <f>SUM($B$2:B6)</f>
        <v/>
      </c>
      <c r="D6">
        <f>SUMPRODUCT((TEXT(Trades!$A$2:$A$37,"yyyy-mm-dd")="2026-07-01")*(Trades!$P$2:$P$37="Closed")*1)</f>
        <v/>
      </c>
      <c r="E6">
        <f>SUMPRODUCT((TEXT(Trades!$A$2:$A$37,"yyyy-mm-dd")="2026-07-01")*(Trades!$N$2:$N$37&gt;0)*1)</f>
        <v/>
      </c>
      <c r="F6">
        <f>D6-E6</f>
        <v/>
      </c>
    </row>
    <row r="7">
      <c r="A7" t="inlineStr">
        <is>
          <t>07/06</t>
        </is>
      </c>
      <c r="B7" s="11">
        <f>SUMPRODUCT((TEXT(Trades!$A$2:$A$37,"yyyy-mm-dd")="2026-07-06")*Trades!$N$2:$N$37)</f>
        <v/>
      </c>
      <c r="C7" s="11">
        <f>SUM($B$2:B7)</f>
        <v/>
      </c>
      <c r="D7">
        <f>SUMPRODUCT((TEXT(Trades!$A$2:$A$37,"yyyy-mm-dd")="2026-07-06")*(Trades!$P$2:$P$37="Closed")*1)</f>
        <v/>
      </c>
      <c r="E7">
        <f>SUMPRODUCT((TEXT(Trades!$A$2:$A$37,"yyyy-mm-dd")="2026-07-06")*(Trades!$N$2:$N$37&gt;0)*1)</f>
        <v/>
      </c>
      <c r="F7">
        <f>D7-E7</f>
        <v/>
      </c>
    </row>
    <row r="8">
      <c r="A8" t="inlineStr">
        <is>
          <t>07/07</t>
        </is>
      </c>
      <c r="B8" s="11">
        <f>SUMPRODUCT((TEXT(Trades!$A$2:$A$37,"yyyy-mm-dd")="2026-07-07")*Trades!$N$2:$N$37)</f>
        <v/>
      </c>
      <c r="C8" s="11">
        <f>SUM($B$2:B8)</f>
        <v/>
      </c>
      <c r="D8">
        <f>SUMPRODUCT((TEXT(Trades!$A$2:$A$37,"yyyy-mm-dd")="2026-07-07")*(Trades!$P$2:$P$37="Closed")*1)</f>
        <v/>
      </c>
      <c r="E8">
        <f>SUMPRODUCT((TEXT(Trades!$A$2:$A$37,"yyyy-mm-dd")="2026-07-07")*(Trades!$N$2:$N$37&gt;0)*1)</f>
        <v/>
      </c>
      <c r="F8">
        <f>D8-E8</f>
        <v/>
      </c>
    </row>
    <row r="9">
      <c r="A9" t="inlineStr">
        <is>
          <t>07/08</t>
        </is>
      </c>
      <c r="B9" s="11">
        <f>SUMPRODUCT((TEXT(Trades!$A$2:$A$37,"yyyy-mm-dd")="2026-07-08")*Trades!$N$2:$N$37)</f>
        <v/>
      </c>
      <c r="C9" s="11">
        <f>SUM($B$2:B9)</f>
        <v/>
      </c>
      <c r="D9">
        <f>SUMPRODUCT((TEXT(Trades!$A$2:$A$37,"yyyy-mm-dd")="2026-07-08")*(Trades!$P$2:$P$37="Closed")*1)</f>
        <v/>
      </c>
      <c r="E9">
        <f>SUMPRODUCT((TEXT(Trades!$A$2:$A$37,"yyyy-mm-dd")="2026-07-08")*(Trades!$N$2:$N$37&gt;0)*1)</f>
        <v/>
      </c>
      <c r="F9">
        <f>D9-E9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IWM</t>
        </is>
      </c>
      <c r="B3" s="11">
        <f>SUMIFS(Trades!$N$2:$N$37,Trades!$B$2:$B$37,A3)</f>
        <v/>
      </c>
      <c r="C3">
        <f>COUNTIFS(Trades!$B$2:$B$37,A3,Trades!$P$2:$P$37,"Closed")</f>
        <v/>
      </c>
      <c r="D3" s="13">
        <f>IF(C3=0,0,COUNTIFS(Trades!$B$2:$B$37,A3,Trades!$N$2:$N$37,"&gt;0")/C3)</f>
        <v/>
      </c>
    </row>
    <row r="4">
      <c r="A4" t="inlineStr">
        <is>
          <t>QQQ</t>
        </is>
      </c>
      <c r="B4" s="11">
        <f>SUMIFS(Trades!$N$2:$N$37,Trades!$B$2:$B$37,A4)</f>
        <v/>
      </c>
      <c r="C4">
        <f>COUNTIFS(Trades!$B$2:$B$37,A4,Trades!$P$2:$P$37,"Closed")</f>
        <v/>
      </c>
      <c r="D4" s="13">
        <f>IF(C4=0,0,COUNTIFS(Trades!$B$2:$B$37,A4,Trades!$N$2:$N$37,"&gt;0")/C4)</f>
        <v/>
      </c>
    </row>
    <row r="5">
      <c r="A5" t="inlineStr">
        <is>
          <t>SPY</t>
        </is>
      </c>
      <c r="B5" s="11">
        <f>SUMIFS(Trades!$N$2:$N$37,Trades!$B$2:$B$37,A5)</f>
        <v/>
      </c>
      <c r="C5">
        <f>COUNTIFS(Trades!$B$2:$B$37,A5,Trades!$P$2:$P$37,"Closed")</f>
        <v/>
      </c>
      <c r="D5" s="13">
        <f>IF(C5=0,0,COUNTIFS(Trades!$B$2:$B$37,A5,Trades!$N$2:$N$37,"&gt;0")/C5)</f>
        <v/>
      </c>
    </row>
    <row r="8">
      <c r="A8" s="12" t="inlineStr">
        <is>
          <t>By Exit Rule</t>
        </is>
      </c>
    </row>
    <row r="9">
      <c r="A9" s="8" t="inlineStr">
        <is>
          <t>Exit Rule</t>
        </is>
      </c>
      <c r="B9" s="8" t="inlineStr">
        <is>
          <t>P&amp;L $</t>
        </is>
      </c>
      <c r="C9" s="8" t="inlineStr">
        <is>
          <t>Count</t>
        </is>
      </c>
      <c r="D9" s="8" t="inlineStr">
        <is>
          <t>Avg P&amp;L $</t>
        </is>
      </c>
    </row>
    <row r="10">
      <c r="A10" t="inlineStr">
        <is>
          <t>Invalidation</t>
        </is>
      </c>
      <c r="B10" s="11">
        <f>SUMIFS(Trades!$N$2:$N$37,Trades!$O$2:$O$37,A10)</f>
        <v/>
      </c>
      <c r="C10">
        <f>COUNTIF(Trades!$O$2:$O$37,A10)</f>
        <v/>
      </c>
      <c r="D10" s="11">
        <f>IF(C10=0,0,B10/C10)</f>
        <v/>
      </c>
    </row>
    <row r="11">
      <c r="A11" t="inlineStr">
        <is>
          <t>Hard Stop</t>
        </is>
      </c>
      <c r="B11" s="11">
        <f>SUMIFS(Trades!$N$2:$N$37,Trades!$O$2:$O$37,A11)</f>
        <v/>
      </c>
      <c r="C11">
        <f>COUNTIF(Trades!$O$2:$O$37,A11)</f>
        <v/>
      </c>
      <c r="D11" s="11">
        <f>IF(C11=0,0,B11/C11)</f>
        <v/>
      </c>
    </row>
    <row r="12">
      <c r="A12" t="inlineStr">
        <is>
          <t>Trail (new)</t>
        </is>
      </c>
      <c r="B12" s="11">
        <f>SUMIFS(Trades!$N$2:$N$37,Trades!$O$2:$O$37,A12)</f>
        <v/>
      </c>
      <c r="C12">
        <f>COUNTIF(Trades!$O$2:$O$37,A12)</f>
        <v/>
      </c>
      <c r="D12" s="11">
        <f>IF(C12=0,0,B12/C12)</f>
        <v/>
      </c>
    </row>
    <row r="13">
      <c r="A13" t="inlineStr">
        <is>
          <t>Old rule (removed)</t>
        </is>
      </c>
      <c r="B13" s="11">
        <f>SUMIFS(Trades!$N$2:$N$37,Trades!$O$2:$O$37,A13)</f>
        <v/>
      </c>
      <c r="C13">
        <f>COUNTIF(Trades!$O$2:$O$37,A13)</f>
        <v/>
      </c>
      <c r="D13" s="11">
        <f>IF(C13=0,0,B13/C13)</f>
        <v/>
      </c>
    </row>
    <row r="16">
      <c r="A16" s="12" t="inlineStr">
        <is>
          <t>By Entry Hour (ET)</t>
        </is>
      </c>
    </row>
    <row r="17">
      <c r="A17" s="8" t="inlineStr">
        <is>
          <t>Hour</t>
        </is>
      </c>
      <c r="B17" s="8" t="inlineStr">
        <is>
          <t>P&amp;L $</t>
        </is>
      </c>
      <c r="C17" s="8" t="inlineStr">
        <is>
          <t>Trades</t>
        </is>
      </c>
    </row>
    <row r="18">
      <c r="A18" t="inlineStr">
        <is>
          <t>9:00</t>
        </is>
      </c>
      <c r="B18" s="11">
        <f>SUMIFS(Trades!$N$2:$N$37,Trades!$G$2:$G$37,9)</f>
        <v/>
      </c>
      <c r="C18">
        <f>COUNTIFS(Trades!$G$2:$G$37,9,Trades!$P$2:$P$37,"Closed")</f>
        <v/>
      </c>
    </row>
    <row r="19">
      <c r="A19" t="inlineStr">
        <is>
          <t>10:00</t>
        </is>
      </c>
      <c r="B19" s="11">
        <f>SUMIFS(Trades!$N$2:$N$37,Trades!$G$2:$G$37,10)</f>
        <v/>
      </c>
      <c r="C19">
        <f>COUNTIFS(Trades!$G$2:$G$37,10,Trades!$P$2:$P$37,"Closed")</f>
        <v/>
      </c>
    </row>
    <row r="20">
      <c r="A20" t="inlineStr">
        <is>
          <t>11:00</t>
        </is>
      </c>
      <c r="B20" s="11">
        <f>SUMIFS(Trades!$N$2:$N$37,Trades!$G$2:$G$37,11)</f>
        <v/>
      </c>
      <c r="C20">
        <f>COUNTIFS(Trades!$G$2:$G$37,11,Trades!$P$2:$P$37,"Closed")</f>
        <v/>
      </c>
    </row>
    <row r="21">
      <c r="A21" t="inlineStr">
        <is>
          <t>12:00</t>
        </is>
      </c>
      <c r="B21" s="11">
        <f>SUMIFS(Trades!$N$2:$N$37,Trades!$G$2:$G$37,12)</f>
        <v/>
      </c>
      <c r="C21">
        <f>COUNTIFS(Trades!$G$2:$G$37,12,Trades!$P$2:$P$37,"Closed")</f>
        <v/>
      </c>
    </row>
    <row r="22">
      <c r="A22" t="inlineStr">
        <is>
          <t>13:00</t>
        </is>
      </c>
      <c r="B22" s="11">
        <f>SUMIFS(Trades!$N$2:$N$37,Trades!$G$2:$G$37,13)</f>
        <v/>
      </c>
      <c r="C22">
        <f>COUNTIFS(Trades!$G$2:$G$37,13,Trades!$P$2:$P$37,"Closed")</f>
        <v/>
      </c>
    </row>
    <row r="23">
      <c r="A23" t="inlineStr">
        <is>
          <t>14:00</t>
        </is>
      </c>
      <c r="B23" s="11">
        <f>SUMIFS(Trades!$N$2:$N$37,Trades!$G$2:$G$37,14)</f>
        <v/>
      </c>
      <c r="C23">
        <f>COUNTIFS(Trades!$G$2:$G$37,14,Trades!$P$2:$P$37,"Closed")</f>
        <v/>
      </c>
    </row>
    <row r="24">
      <c r="A24" t="inlineStr">
        <is>
          <t>15:00</t>
        </is>
      </c>
      <c r="B24" s="11">
        <f>SUMIFS(Trades!$N$2:$N$37,Trades!$G$2:$G$37,15)</f>
        <v/>
      </c>
      <c r="C24">
        <f>COUNTIFS(Trades!$G$2:$G$37,15,Trades!$P$2:$P$37,"Closed")</f>
        <v/>
      </c>
    </row>
    <row r="27">
      <c r="A27" s="12" t="inlineStr">
        <is>
          <t>By Conviction Tier</t>
        </is>
      </c>
    </row>
    <row r="28">
      <c r="A28" s="8" t="inlineStr">
        <is>
          <t>Tier</t>
        </is>
      </c>
      <c r="B28" s="8" t="inlineStr">
        <is>
          <t>P&amp;L $</t>
        </is>
      </c>
      <c r="C28" s="8" t="inlineStr">
        <is>
          <t>Trades</t>
        </is>
      </c>
      <c r="D28" s="8" t="inlineStr">
        <is>
          <t>Win rate</t>
        </is>
      </c>
    </row>
    <row r="29">
      <c r="A29" t="inlineStr">
        <is>
          <t>LOW</t>
        </is>
      </c>
      <c r="B29" s="11">
        <f>SUMIFS(Trades!$N$2:$N$37,Trades!$Q$2:$Q$37,A29&amp;" *")</f>
        <v/>
      </c>
      <c r="C29">
        <f>COUNTIFS(Trades!$Q$2:$Q$37,A29&amp;" *",Trades!$P$2:$P$37,"Closed")</f>
        <v/>
      </c>
      <c r="D29" s="13">
        <f>IF(C29=0,0,COUNTIFS(Trades!$Q$2:$Q$37,A29&amp;" *",Trades!$N$2:$N$37,"&gt;0")/C29)</f>
        <v/>
      </c>
    </row>
    <row r="30">
      <c r="A30" t="inlineStr">
        <is>
          <t>MEDIUM</t>
        </is>
      </c>
      <c r="B30" s="11">
        <f>SUMIFS(Trades!$N$2:$N$37,Trades!$Q$2:$Q$37,A30&amp;" *")</f>
        <v/>
      </c>
      <c r="C30">
        <f>COUNTIFS(Trades!$Q$2:$Q$37,A30&amp;" *",Trades!$P$2:$P$37,"Closed")</f>
        <v/>
      </c>
      <c r="D30" s="13">
        <f>IF(C30=0,0,COUNTIFS(Trades!$Q$2:$Q$37,A30&amp;" *",Trades!$N$2:$N$37,"&gt;0")/C30)</f>
        <v/>
      </c>
    </row>
    <row r="31">
      <c r="A31" t="inlineStr">
        <is>
          <t>HIGH</t>
        </is>
      </c>
      <c r="B31" s="11">
        <f>SUMIFS(Trades!$N$2:$N$37,Trades!$Q$2:$Q$37,A31&amp;" *")</f>
        <v/>
      </c>
      <c r="C31">
        <f>COUNTIFS(Trades!$Q$2:$Q$37,A31&amp;" *",Trades!$P$2:$P$37,"Closed")</f>
        <v/>
      </c>
      <c r="D31" s="13">
        <f>IF(C31=0,0,COUNTIFS(Trades!$Q$2:$Q$37,A31&amp;" *",Trades!$N$2:$N$37,"&gt;0")/C31)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2026-07-08T20:00:51Z</dcterms:created>
  <dcterms:modified xsi:type="dcterms:W3CDTF">2026-07-08T20:00:51Z</dcterms:modified>
</cp:coreProperties>
</file>