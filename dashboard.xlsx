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'Daily'!$A$2:$A$7</f>
            </numRef>
          </cat>
          <val>
            <numRef>
              <f>'Daily'!$B$2:$B$7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'Daily'!$A$2:$A$7</f>
            </numRef>
          </cat>
          <val>
            <numRef>
              <f>'Daily'!$C$2:$C$7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'Analysis'!$A$3:$A$5</f>
            </numRef>
          </cat>
          <val>
            <numRef>
              <f>'Analysis'!$B$3:$B$5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'Analysis'!B9</f>
            </strRef>
          </tx>
          <spPr>
            <a:ln>
              <a:prstDash val="solid"/>
            </a:ln>
          </spPr>
          <cat>
            <numRef>
              <f>'Analysis'!$A$10:$A$13</f>
            </numRef>
          </cat>
          <val>
            <numRef>
              <f>'Analysis'!$B$10:$B$13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'Analysis'!B17</f>
            </strRef>
          </tx>
          <spPr>
            <a:ln>
              <a:prstDash val="solid"/>
            </a:ln>
          </spPr>
          <cat>
            <numRef>
              <f>'Analysis'!$A$18:$A$24</f>
            </numRef>
          </cat>
          <val>
            <numRef>
              <f>'Analysis'!$B$18:$B$24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2026-07-06 17:46 — refresh: python scripts/build_dashboard.py</t>
        </is>
      </c>
    </row>
    <row r="4">
      <c r="A4" s="3" t="inlineStr">
        <is>
          <t>Total P&amp;L $</t>
        </is>
      </c>
      <c r="B4" s="4">
        <f>SUM(Trades!$N$2:$N$26)</f>
        <v/>
      </c>
    </row>
    <row r="5">
      <c r="A5" s="3" t="inlineStr">
        <is>
          <t>Closed trades</t>
        </is>
      </c>
      <c r="B5" s="5">
        <f>COUNTIF(Trades!$P$2:$P$26,"Closed")</f>
        <v/>
      </c>
    </row>
    <row r="6">
      <c r="A6" s="3" t="inlineStr">
        <is>
          <t>Win rate</t>
        </is>
      </c>
      <c r="B6" s="6">
        <f>COUNTIF(Trades!$N$2:$N$26,"&gt;0")/B5</f>
        <v/>
      </c>
    </row>
    <row r="7">
      <c r="A7" s="3" t="inlineStr">
        <is>
          <t>Avg win $</t>
        </is>
      </c>
      <c r="B7" s="4">
        <f>AVERAGEIF(Trades!$N$2:$N$26,"&gt;0")</f>
        <v/>
      </c>
    </row>
    <row r="8">
      <c r="A8" s="3" t="inlineStr">
        <is>
          <t>Avg loss $</t>
        </is>
      </c>
      <c r="B8" s="4">
        <f>IF(COUNTIF(Trades!$N$2:$N$26,"&lt;0")=0,0,AVERAGEIF(Trades!$N$2:$N$26,"&lt;0"))</f>
        <v/>
      </c>
    </row>
    <row r="9">
      <c r="A9" s="3" t="inlineStr">
        <is>
          <t>Profit factor</t>
        </is>
      </c>
      <c r="B9" s="7">
        <f>IF(SUMIF(Trades!$N$2:$N$26,"&lt;0")=0,0,-SUMIF(Trades!$N$2:$N$26,"&gt;0")/SUMIF(Trades!$N$2:$N$26,"&lt;0"))</f>
        <v/>
      </c>
    </row>
    <row r="10">
      <c r="A10" s="3" t="inlineStr">
        <is>
          <t>Best day $</t>
        </is>
      </c>
      <c r="B10" s="4">
        <f>MAX(Daily!$B$2:$B$7)</f>
        <v/>
      </c>
    </row>
    <row r="11">
      <c r="A11" s="3" t="inlineStr">
        <is>
          <t>Worst day $</t>
        </is>
      </c>
      <c r="B11" s="4">
        <f>MIN(Daily!$B$2:$B$7)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SUMPRODUCT((TEXT(Trades!$A$2:$A$26,"yyyy-mm-dd")="2026-05-05")*Trades!$N$2:$N$26)</f>
        <v/>
      </c>
      <c r="C2" s="11">
        <f>SUM($B$2:B2)</f>
        <v/>
      </c>
      <c r="D2">
        <f>SUMPRODUCT((TEXT(Trades!$A$2:$A$26,"yyyy-mm-dd")="2026-05-05")*(Trades!$P$2:$P$26="Closed")*1)</f>
        <v/>
      </c>
      <c r="E2">
        <f>SUMPRODUCT((TEXT(Trades!$A$2:$A$26,"yyyy-mm-dd")="2026-05-05")*(Trades!$N$2:$N$26&gt;0)*1)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SUMPRODUCT((TEXT(Trades!$A$2:$A$26,"yyyy-mm-dd")="2026-05-15")*Trades!$N$2:$N$26)</f>
        <v/>
      </c>
      <c r="C3" s="11">
        <f>SUM($B$2:B3)</f>
        <v/>
      </c>
      <c r="D3">
        <f>SUMPRODUCT((TEXT(Trades!$A$2:$A$26,"yyyy-mm-dd")="2026-05-15")*(Trades!$P$2:$P$26="Closed")*1)</f>
        <v/>
      </c>
      <c r="E3">
        <f>SUMPRODUCT((TEXT(Trades!$A$2:$A$26,"yyyy-mm-dd")="2026-05-15")*(Trades!$N$2:$N$26&gt;0)*1)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SUMPRODUCT((TEXT(Trades!$A$2:$A$26,"yyyy-mm-dd")="2026-06-29")*Trades!$N$2:$N$26)</f>
        <v/>
      </c>
      <c r="C4" s="11">
        <f>SUM($B$2:B4)</f>
        <v/>
      </c>
      <c r="D4">
        <f>SUMPRODUCT((TEXT(Trades!$A$2:$A$26,"yyyy-mm-dd")="2026-06-29")*(Trades!$P$2:$P$26="Closed")*1)</f>
        <v/>
      </c>
      <c r="E4">
        <f>SUMPRODUCT((TEXT(Trades!$A$2:$A$26,"yyyy-mm-dd")="2026-06-29")*(Trades!$N$2:$N$26&gt;0)*1)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SUMPRODUCT((TEXT(Trades!$A$2:$A$26,"yyyy-mm-dd")="2026-06-30")*Trades!$N$2:$N$26)</f>
        <v/>
      </c>
      <c r="C5" s="11">
        <f>SUM($B$2:B5)</f>
        <v/>
      </c>
      <c r="D5">
        <f>SUMPRODUCT((TEXT(Trades!$A$2:$A$26,"yyyy-mm-dd")="2026-06-30")*(Trades!$P$2:$P$26="Closed")*1)</f>
        <v/>
      </c>
      <c r="E5">
        <f>SUMPRODUCT((TEXT(Trades!$A$2:$A$26,"yyyy-mm-dd")="2026-06-30")*(Trades!$N$2:$N$26&gt;0)*1)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SUMPRODUCT((TEXT(Trades!$A$2:$A$26,"yyyy-mm-dd")="2026-07-01")*Trades!$N$2:$N$26)</f>
        <v/>
      </c>
      <c r="C6" s="11">
        <f>SUM($B$2:B6)</f>
        <v/>
      </c>
      <c r="D6">
        <f>SUMPRODUCT((TEXT(Trades!$A$2:$A$26,"yyyy-mm-dd")="2026-07-01")*(Trades!$P$2:$P$26="Closed")*1)</f>
        <v/>
      </c>
      <c r="E6">
        <f>SUMPRODUCT((TEXT(Trades!$A$2:$A$26,"yyyy-mm-dd")="2026-07-01")*(Trades!$N$2:$N$26&gt;0)*1)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SUMPRODUCT((TEXT(Trades!$A$2:$A$26,"yyyy-mm-dd")="2026-07-06")*Trades!$N$2:$N$26)</f>
        <v/>
      </c>
      <c r="C7" s="11">
        <f>SUM($B$2:B7)</f>
        <v/>
      </c>
      <c r="D7">
        <f>SUMPRODUCT((TEXT(Trades!$A$2:$A$26,"yyyy-mm-dd")="2026-07-06")*(Trades!$P$2:$P$26="Closed")*1)</f>
        <v/>
      </c>
      <c r="E7">
        <f>SUMPRODUCT((TEXT(Trades!$A$2:$A$26,"yyyy-mm-dd")="2026-07-06")*(Trades!$N$2:$N$26&gt;0)*1)</f>
        <v/>
      </c>
      <c r="F7">
        <f>D7-E7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SUMIFS(Trades!$N$2:$N$26,Trades!$B$2:$B$26,A3)</f>
        <v/>
      </c>
      <c r="C3">
        <f>COUNTIFS(Trades!$B$2:$B$26,A3,Trades!$P$2:$P$26,"Closed")</f>
        <v/>
      </c>
      <c r="D3" s="13">
        <f>IF(C3=0,0,COUNTIFS(Trades!$B$2:$B$26,A3,Trades!$N$2:$N$26,"&gt;0")/C3)</f>
        <v/>
      </c>
    </row>
    <row r="4">
      <c r="A4" t="inlineStr">
        <is>
          <t>QQQ</t>
        </is>
      </c>
      <c r="B4" s="11">
        <f>SUMIFS(Trades!$N$2:$N$26,Trades!$B$2:$B$26,A4)</f>
        <v/>
      </c>
      <c r="C4">
        <f>COUNTIFS(Trades!$B$2:$B$26,A4,Trades!$P$2:$P$26,"Closed")</f>
        <v/>
      </c>
      <c r="D4" s="13">
        <f>IF(C4=0,0,COUNTIFS(Trades!$B$2:$B$26,A4,Trades!$N$2:$N$26,"&gt;0")/C4)</f>
        <v/>
      </c>
    </row>
    <row r="5">
      <c r="A5" t="inlineStr">
        <is>
          <t>SPY</t>
        </is>
      </c>
      <c r="B5" s="11">
        <f>SUMIFS(Trades!$N$2:$N$26,Trades!$B$2:$B$26,A5)</f>
        <v/>
      </c>
      <c r="C5">
        <f>COUNTIFS(Trades!$B$2:$B$26,A5,Trades!$P$2:$P$26,"Closed")</f>
        <v/>
      </c>
      <c r="D5" s="13">
        <f>IF(C5=0,0,COUNTIFS(Trades!$B$2:$B$26,A5,Trades!$N$2:$N$26,"&gt;0")/C5)</f>
        <v/>
      </c>
    </row>
    <row r="8">
      <c r="A8" s="12" t="inlineStr">
        <is>
          <t>By Exit Rule</t>
        </is>
      </c>
    </row>
    <row r="9">
      <c r="A9" s="8" t="inlineStr">
        <is>
          <t>Exit Rule</t>
        </is>
      </c>
      <c r="B9" s="8" t="inlineStr">
        <is>
          <t>P&amp;L $</t>
        </is>
      </c>
      <c r="C9" s="8" t="inlineStr">
        <is>
          <t>Count</t>
        </is>
      </c>
      <c r="D9" s="8" t="inlineStr">
        <is>
          <t>Avg P&amp;L $</t>
        </is>
      </c>
    </row>
    <row r="10">
      <c r="A10" t="inlineStr">
        <is>
          <t>Invalidation</t>
        </is>
      </c>
      <c r="B10" s="11">
        <f>SUMIFS(Trades!$N$2:$N$26,Trades!$O$2:$O$26,A10)</f>
        <v/>
      </c>
      <c r="C10">
        <f>COUNTIF(Trades!$O$2:$O$26,A10)</f>
        <v/>
      </c>
      <c r="D10" s="11">
        <f>IF(C10=0,0,B10/C10)</f>
        <v/>
      </c>
    </row>
    <row r="11">
      <c r="A11" t="inlineStr">
        <is>
          <t>Hard Stop</t>
        </is>
      </c>
      <c r="B11" s="11">
        <f>SUMIFS(Trades!$N$2:$N$26,Trades!$O$2:$O$26,A11)</f>
        <v/>
      </c>
      <c r="C11">
        <f>COUNTIF(Trades!$O$2:$O$26,A11)</f>
        <v/>
      </c>
      <c r="D11" s="11">
        <f>IF(C11=0,0,B11/C11)</f>
        <v/>
      </c>
    </row>
    <row r="12">
      <c r="A12" t="inlineStr">
        <is>
          <t>Trail (new)</t>
        </is>
      </c>
      <c r="B12" s="11">
        <f>SUMIFS(Trades!$N$2:$N$26,Trades!$O$2:$O$26,A12)</f>
        <v/>
      </c>
      <c r="C12">
        <f>COUNTIF(Trades!$O$2:$O$26,A12)</f>
        <v/>
      </c>
      <c r="D12" s="11">
        <f>IF(C12=0,0,B12/C12)</f>
        <v/>
      </c>
    </row>
    <row r="13">
      <c r="A13" t="inlineStr">
        <is>
          <t>Old rule (removed)</t>
        </is>
      </c>
      <c r="B13" s="11">
        <f>SUMIFS(Trades!$N$2:$N$26,Trades!$O$2:$O$26,A13)</f>
        <v/>
      </c>
      <c r="C13">
        <f>COUNTIF(Trades!$O$2:$O$26,A13)</f>
        <v/>
      </c>
      <c r="D13" s="11">
        <f>IF(C13=0,0,B13/C13)</f>
        <v/>
      </c>
    </row>
    <row r="16">
      <c r="A16" s="12" t="inlineStr">
        <is>
          <t>By Entry Hour (ET)</t>
        </is>
      </c>
    </row>
    <row r="17">
      <c r="A17" s="8" t="inlineStr">
        <is>
          <t>Hour</t>
        </is>
      </c>
      <c r="B17" s="8" t="inlineStr">
        <is>
          <t>P&amp;L $</t>
        </is>
      </c>
      <c r="C17" s="8" t="inlineStr">
        <is>
          <t>Trades</t>
        </is>
      </c>
    </row>
    <row r="18">
      <c r="A18" t="inlineStr">
        <is>
          <t>9:00</t>
        </is>
      </c>
      <c r="B18" s="11">
        <f>SUMIFS(Trades!$N$2:$N$26,Trades!$G$2:$G$26,9)</f>
        <v/>
      </c>
      <c r="C18">
        <f>COUNTIFS(Trades!$G$2:$G$26,9,Trades!$P$2:$P$26,"Closed")</f>
        <v/>
      </c>
    </row>
    <row r="19">
      <c r="A19" t="inlineStr">
        <is>
          <t>10:00</t>
        </is>
      </c>
      <c r="B19" s="11">
        <f>SUMIFS(Trades!$N$2:$N$26,Trades!$G$2:$G$26,10)</f>
        <v/>
      </c>
      <c r="C19">
        <f>COUNTIFS(Trades!$G$2:$G$26,10,Trades!$P$2:$P$26,"Closed")</f>
        <v/>
      </c>
    </row>
    <row r="20">
      <c r="A20" t="inlineStr">
        <is>
          <t>11:00</t>
        </is>
      </c>
      <c r="B20" s="11">
        <f>SUMIFS(Trades!$N$2:$N$26,Trades!$G$2:$G$26,11)</f>
        <v/>
      </c>
      <c r="C20">
        <f>COUNTIFS(Trades!$G$2:$G$26,11,Trades!$P$2:$P$26,"Closed")</f>
        <v/>
      </c>
    </row>
    <row r="21">
      <c r="A21" t="inlineStr">
        <is>
          <t>12:00</t>
        </is>
      </c>
      <c r="B21" s="11">
        <f>SUMIFS(Trades!$N$2:$N$26,Trades!$G$2:$G$26,12)</f>
        <v/>
      </c>
      <c r="C21">
        <f>COUNTIFS(Trades!$G$2:$G$26,12,Trades!$P$2:$P$26,"Closed")</f>
        <v/>
      </c>
    </row>
    <row r="22">
      <c r="A22" t="inlineStr">
        <is>
          <t>13:00</t>
        </is>
      </c>
      <c r="B22" s="11">
        <f>SUMIFS(Trades!$N$2:$N$26,Trades!$G$2:$G$26,13)</f>
        <v/>
      </c>
      <c r="C22">
        <f>COUNTIFS(Trades!$G$2:$G$26,13,Trades!$P$2:$P$26,"Closed")</f>
        <v/>
      </c>
    </row>
    <row r="23">
      <c r="A23" t="inlineStr">
        <is>
          <t>14:00</t>
        </is>
      </c>
      <c r="B23" s="11">
        <f>SUMIFS(Trades!$N$2:$N$26,Trades!$G$2:$G$26,14)</f>
        <v/>
      </c>
      <c r="C23">
        <f>COUNTIFS(Trades!$G$2:$G$26,14,Trades!$P$2:$P$26,"Closed")</f>
        <v/>
      </c>
    </row>
    <row r="24">
      <c r="A24" t="inlineStr">
        <is>
          <t>15:00</t>
        </is>
      </c>
      <c r="B24" s="11">
        <f>SUMIFS(Trades!$N$2:$N$26,Trades!$G$2:$G$26,15)</f>
        <v/>
      </c>
      <c r="C24">
        <f>COUNTIFS(Trades!$G$2:$G$26,15,Trades!$P$2:$P$26,"Closed")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2026-07-06T22:46:13Z</dcterms:created>
  <dcterms:modified xsi:type="dcterms:W3CDTF">2026-07-06T22:46:13Z</dcterms:modified>
</cp:coreProperties>
</file>