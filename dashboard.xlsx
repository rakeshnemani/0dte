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s" sheetId="2" state="visible" r:id="rId2"/>
    <sheet name="Daily" sheetId="3" state="visible" r:id="rId3"/>
    <sheet name="Analysi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0%;(0.0%);-"/>
    <numFmt numFmtId="166" formatCode="$#,##0.00;($#,##0.00);-"/>
  </numFmts>
  <fonts count="7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  <sz val="14"/>
    </font>
    <font>
      <name val="Arial"/>
      <b val="1"/>
      <sz val="16"/>
    </font>
    <font>
      <name val="Arial"/>
      <i val="1"/>
      <color rgb="00808080"/>
      <sz val="9"/>
    </font>
    <font>
      <name val="Arial"/>
      <b val="1"/>
    </font>
  </fonts>
  <fills count="3">
    <fill>
      <patternFill/>
    </fill>
    <fill>
      <patternFill patternType="gray125"/>
    </fill>
    <fill>
      <patternFill patternType="solid">
        <fgColor rgb="0030549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166" fontId="2" fillId="0" borderId="0" pivotButton="0" quotePrefix="0" xfId="0"/>
    <xf numFmtId="1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0" fontId="1" fillId="2" borderId="0" applyAlignment="1" pivotButton="0" quotePrefix="0" xfId="0">
      <alignment horizontal="center"/>
    </xf>
    <xf numFmtId="164" fontId="2" fillId="0" borderId="0" pivotButton="0" quotePrefix="0" xfId="0"/>
    <xf numFmtId="0" fontId="2" fillId="0" borderId="0" pivotButton="0" quotePrefix="0" xfId="0"/>
    <xf numFmtId="166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Net P&amp;L ($)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'Daily'!B1</f>
            </strRef>
          </tx>
          <spPr>
            <a:ln>
              <a:prstDash val="solid"/>
            </a:ln>
          </spPr>
          <cat>
            <numRef>
              <f>'Daily'!$A$2:$A$5</f>
            </numRef>
          </cat>
          <val>
            <numRef>
              <f>'Daily'!$B$2:$B$5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Equity Curve (cumulative $)</a:t>
            </a:r>
          </a:p>
        </rich>
      </tx>
    </title>
    <plotArea>
      <lineChart>
        <grouping val="standard"/>
        <ser>
          <idx val="0"/>
          <order val="0"/>
          <tx>
            <strRef>
              <f>'Daily'!C1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'Daily'!$A$2:$A$5</f>
            </numRef>
          </cat>
          <val>
            <numRef>
              <f>'Daily'!$C$2:$C$5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'Analysis'!B2</f>
            </strRef>
          </tx>
          <spPr>
            <a:ln>
              <a:prstDash val="solid"/>
            </a:ln>
          </spPr>
          <cat>
            <numRef>
              <f>'Analysis'!$A$3</f>
            </numRef>
          </cat>
          <val>
            <numRef>
              <f>'Analysis'!$B$3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P&amp;L by Exit Rule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'Analysis'!B7</f>
            </strRef>
          </tx>
          <spPr>
            <a:ln>
              <a:prstDash val="solid"/>
            </a:ln>
          </spPr>
          <cat>
            <numRef>
              <f>'Analysis'!$A$8:$A$11</f>
            </numRef>
          </cat>
          <val>
            <numRef>
              <f>'Analysis'!$B$8:$B$11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P&amp;L by Entry Hour (ET)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'Analysis'!B15</f>
            </strRef>
          </tx>
          <spPr>
            <a:ln>
              <a:prstDash val="solid"/>
            </a:ln>
          </spPr>
          <cat>
            <numRef>
              <f>'Analysis'!$A$16:$A$22</f>
            </numRef>
          </cat>
          <val>
            <numRef>
              <f>'Analysis'!$B$16:$B$22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P&amp;L by Conviction Tier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'Analysis'!B26</f>
            </strRef>
          </tx>
          <spPr>
            <a:ln>
              <a:prstDash val="solid"/>
            </a:ln>
          </spPr>
          <cat>
            <numRef>
              <f>'Analysis'!$A$27:$A$29</f>
            </numRef>
          </cat>
          <val>
            <numRef>
              <f>'Analysis'!$B$27:$B$29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Relationship Type="http://schemas.openxmlformats.org/officeDocument/2006/relationships/chart" Target="/xl/charts/chart5.xml" Id="rId3" /><Relationship Type="http://schemas.openxmlformats.org/officeDocument/2006/relationships/chart" Target="/xl/charts/chart6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468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17</row>
      <rowOff>0</rowOff>
    </from>
    <ext cx="468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5</col>
      <colOff>0</colOff>
      <row>33</row>
      <rowOff>0</rowOff>
    </from>
    <ext cx="468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5</col>
      <colOff>0</colOff>
      <row>49</row>
      <rowOff>0</rowOff>
    </from>
    <ext cx="468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</cols>
  <sheetData>
    <row r="1">
      <c r="A1" s="1" t="inlineStr">
        <is>
          <t>0DTE Bot — Performance Dashboard</t>
        </is>
      </c>
    </row>
    <row r="2">
      <c r="A2" s="2" t="inlineStr">
        <is>
          <t>Generated 2026-08-20 15:00 — refresh: python scripts/build_dashboard.py</t>
        </is>
      </c>
    </row>
    <row r="4">
      <c r="A4" s="3" t="inlineStr">
        <is>
          <t>Total P&amp;L $</t>
        </is>
      </c>
      <c r="B4" s="4">
        <f>SUM(Trades!$N$2:$N$5)</f>
        <v/>
      </c>
    </row>
    <row r="5">
      <c r="A5" s="3" t="inlineStr">
        <is>
          <t>Closed trades</t>
        </is>
      </c>
      <c r="B5" s="5">
        <f>COUNTIF(Trades!$P$2:$P$5,"Closed")</f>
        <v/>
      </c>
    </row>
    <row r="6">
      <c r="A6" s="3" t="inlineStr">
        <is>
          <t>Win rate</t>
        </is>
      </c>
      <c r="B6" s="6">
        <f>COUNTIF(Trades!$N$2:$N$5,"&gt;0")/B5</f>
        <v/>
      </c>
    </row>
    <row r="7">
      <c r="A7" s="3" t="inlineStr">
        <is>
          <t>Avg win $</t>
        </is>
      </c>
      <c r="B7" s="4">
        <f>AVERAGEIF(Trades!$N$2:$N$5,"&gt;0")</f>
        <v/>
      </c>
    </row>
    <row r="8">
      <c r="A8" s="3" t="inlineStr">
        <is>
          <t>Avg loss $</t>
        </is>
      </c>
      <c r="B8" s="4">
        <f>IF(COUNTIF(Trades!$N$2:$N$5,"&lt;0")=0,0,AVERAGEIF(Trades!$N$2:$N$5,"&lt;0"))</f>
        <v/>
      </c>
    </row>
    <row r="9">
      <c r="A9" s="3" t="inlineStr">
        <is>
          <t>Profit factor</t>
        </is>
      </c>
      <c r="B9" s="7">
        <f>IF(SUMIF(Trades!$N$2:$N$5,"&lt;0")=0,0,-SUMIF(Trades!$N$2:$N$5,"&gt;0")/SUMIF(Trades!$N$2:$N$5,"&lt;0"))</f>
        <v/>
      </c>
    </row>
    <row r="10">
      <c r="A10" s="3" t="inlineStr">
        <is>
          <t>Best day $</t>
        </is>
      </c>
      <c r="B10" s="4">
        <f>MAX(Daily!$B$2:$B$5)</f>
        <v/>
      </c>
    </row>
    <row r="11">
      <c r="A11" s="3" t="inlineStr">
        <is>
          <t>Worst day $</t>
        </is>
      </c>
      <c r="B11" s="4">
        <f>MIN(Daily!$B$2:$B$5)</f>
        <v/>
      </c>
    </row>
    <row r="12">
      <c r="A12" s="3" t="inlineStr">
        <is>
          <t>Commissions $</t>
        </is>
      </c>
      <c r="B12" s="4">
        <f>SUM(Trades!$R$2:$R$5)</f>
        <v/>
      </c>
    </row>
    <row r="13">
      <c r="A13" s="3" t="inlineStr">
        <is>
          <t>Net after fees $</t>
        </is>
      </c>
      <c r="B13" s="4">
        <f>B4-B12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5"/>
  <sheetViews>
    <sheetView workbookViewId="0">
      <selection activeCell="A1" sqref="A1"/>
    </sheetView>
  </sheetViews>
  <sheetFormatPr baseColWidth="8" defaultRowHeight="15"/>
  <cols>
    <col width="11" customWidth="1" min="1" max="1"/>
    <col width="8" customWidth="1" min="2" max="2"/>
    <col width="9" customWidth="1" min="3" max="3"/>
    <col width="12" customWidth="1" min="4" max="4"/>
    <col width="12" customWidth="1" min="5" max="5"/>
    <col width="9" customWidth="1" min="6" max="6"/>
    <col width="8" customWidth="1" min="7" max="7"/>
    <col width="8" customWidth="1" min="8" max="8"/>
    <col width="8" customWidth="1" min="9" max="9"/>
    <col width="7" customWidth="1" min="10" max="10"/>
    <col width="9" customWidth="1" min="11" max="11"/>
    <col width="8" customWidth="1" min="12" max="12"/>
    <col width="8" customWidth="1" min="13" max="13"/>
    <col width="11" customWidth="1" min="14" max="14"/>
    <col width="18" customWidth="1" min="15" max="15"/>
    <col width="16" customWidth="1" min="16" max="16"/>
    <col width="30" customWidth="1" min="17" max="17"/>
    <col width="11" customWidth="1" min="18" max="18"/>
  </cols>
  <sheetData>
    <row r="1">
      <c r="A1" s="8" t="inlineStr">
        <is>
          <t>Date</t>
        </is>
      </c>
      <c r="B1" s="8" t="inlineStr">
        <is>
          <t>Symbol</t>
        </is>
      </c>
      <c r="C1" s="8" t="inlineStr">
        <is>
          <t>Direction</t>
        </is>
      </c>
      <c r="D1" s="8" t="inlineStr">
        <is>
          <t>Entry (ET)</t>
        </is>
      </c>
      <c r="E1" s="8" t="inlineStr">
        <is>
          <t>Exit (ET)</t>
        </is>
      </c>
      <c r="F1" s="8" t="inlineStr">
        <is>
          <t>Hold (min)</t>
        </is>
      </c>
      <c r="G1" s="8" t="inlineStr">
        <is>
          <t>Entry Hr</t>
        </is>
      </c>
      <c r="H1" s="8" t="inlineStr">
        <is>
          <t>Entry $</t>
        </is>
      </c>
      <c r="I1" s="8" t="inlineStr">
        <is>
          <t>Exit $</t>
        </is>
      </c>
      <c r="J1" s="8" t="inlineStr">
        <is>
          <t>ADX</t>
        </is>
      </c>
      <c r="K1" s="8" t="inlineStr">
        <is>
          <t>ADX Slope</t>
        </is>
      </c>
      <c r="L1" s="8" t="inlineStr">
        <is>
          <t>Peak %</t>
        </is>
      </c>
      <c r="M1" s="8" t="inlineStr">
        <is>
          <t>P&amp;L %</t>
        </is>
      </c>
      <c r="N1" s="8" t="inlineStr">
        <is>
          <t>P&amp;L $</t>
        </is>
      </c>
      <c r="O1" s="8" t="inlineStr">
        <is>
          <t>Exit Rule</t>
        </is>
      </c>
      <c r="P1" s="8" t="inlineStr">
        <is>
          <t>Status</t>
        </is>
      </c>
      <c r="Q1" s="8" t="inlineStr">
        <is>
          <t>Conviction</t>
        </is>
      </c>
      <c r="R1" s="8" t="inlineStr">
        <is>
          <t>Commission</t>
        </is>
      </c>
    </row>
    <row r="2">
      <c r="A2" s="9" t="n">
        <v>46251</v>
      </c>
      <c r="B2" s="10" t="inlineStr">
        <is>
          <t>SPX</t>
        </is>
      </c>
      <c r="C2" s="10" t="inlineStr">
        <is>
          <t>PUT</t>
        </is>
      </c>
      <c r="D2" s="10" t="inlineStr">
        <is>
          <t>08-17 10:00</t>
        </is>
      </c>
      <c r="E2" s="10" t="inlineStr">
        <is>
          <t>08-17 14:25</t>
        </is>
      </c>
      <c r="F2" s="10" t="n">
        <v>266</v>
      </c>
      <c r="G2" s="10" t="n">
        <v>10</v>
      </c>
      <c r="H2" s="10" t="n">
        <v>8.6</v>
      </c>
      <c r="I2" s="10" t="n">
        <v>17.4</v>
      </c>
      <c r="J2" s="10" t="n"/>
      <c r="K2" s="10" t="n"/>
      <c r="L2" s="6" t="n"/>
      <c r="M2" s="6" t="n">
        <v>1.0233</v>
      </c>
      <c r="N2" s="4" t="n">
        <v>880</v>
      </c>
      <c r="O2" s="10" t="inlineStr">
        <is>
          <t>Other</t>
        </is>
      </c>
      <c r="P2" s="10" t="inlineStr">
        <is>
          <t>Closed</t>
        </is>
      </c>
      <c r="Q2" s="10" t="inlineStr"/>
      <c r="R2" s="4" t="n">
        <v>1.63</v>
      </c>
    </row>
    <row r="3">
      <c r="A3" s="9" t="n">
        <v>46252</v>
      </c>
      <c r="B3" s="10" t="inlineStr">
        <is>
          <t>SPX</t>
        </is>
      </c>
      <c r="C3" s="10" t="inlineStr">
        <is>
          <t>PUT</t>
        </is>
      </c>
      <c r="D3" s="10" t="inlineStr">
        <is>
          <t>08-18 10:13</t>
        </is>
      </c>
      <c r="E3" s="10" t="inlineStr">
        <is>
          <t>08-18 13:10</t>
        </is>
      </c>
      <c r="F3" s="10" t="n">
        <v>177</v>
      </c>
      <c r="G3" s="10" t="n">
        <v>10</v>
      </c>
      <c r="H3" s="10" t="n">
        <v>10</v>
      </c>
      <c r="I3" s="10" t="n">
        <v>2</v>
      </c>
      <c r="J3" s="10" t="n"/>
      <c r="K3" s="10" t="n"/>
      <c r="L3" s="6" t="n">
        <v>0.04</v>
      </c>
      <c r="M3" s="6" t="n">
        <v>-0.8</v>
      </c>
      <c r="N3" s="4" t="n">
        <v>-800</v>
      </c>
      <c r="O3" s="10" t="inlineStr">
        <is>
          <t>Other</t>
        </is>
      </c>
      <c r="P3" s="10" t="inlineStr">
        <is>
          <t>Closed</t>
        </is>
      </c>
      <c r="Q3" s="10" t="inlineStr"/>
      <c r="R3" s="4" t="n">
        <v>3.26</v>
      </c>
    </row>
    <row r="4">
      <c r="A4" s="9" t="n">
        <v>46253</v>
      </c>
      <c r="B4" s="10" t="inlineStr">
        <is>
          <t>SPX</t>
        </is>
      </c>
      <c r="C4" s="10" t="inlineStr">
        <is>
          <t>PUT</t>
        </is>
      </c>
      <c r="D4" s="10" t="inlineStr">
        <is>
          <t>08-19 09:50</t>
        </is>
      </c>
      <c r="E4" s="10" t="inlineStr">
        <is>
          <t>08-19 10:54</t>
        </is>
      </c>
      <c r="F4" s="10" t="n">
        <v>64</v>
      </c>
      <c r="G4" s="10" t="n">
        <v>9</v>
      </c>
      <c r="H4" s="10" t="n">
        <v>13.8</v>
      </c>
      <c r="I4" s="10" t="n">
        <v>2.65</v>
      </c>
      <c r="J4" s="10" t="n"/>
      <c r="K4" s="10" t="n"/>
      <c r="L4" s="6" t="n">
        <v>0.2826</v>
      </c>
      <c r="M4" s="6" t="n">
        <v>-0.8079999999999999</v>
      </c>
      <c r="N4" s="4" t="n">
        <v>-1115</v>
      </c>
      <c r="O4" s="10" t="inlineStr">
        <is>
          <t>Other</t>
        </is>
      </c>
      <c r="P4" s="10" t="inlineStr">
        <is>
          <t>Closed</t>
        </is>
      </c>
      <c r="Q4" s="10" t="inlineStr"/>
      <c r="R4" s="4" t="n">
        <v>3.26</v>
      </c>
    </row>
    <row r="5">
      <c r="A5" s="9" t="n">
        <v>46254</v>
      </c>
      <c r="B5" s="10" t="inlineStr">
        <is>
          <t>SPX</t>
        </is>
      </c>
      <c r="C5" s="10" t="inlineStr">
        <is>
          <t>PUT</t>
        </is>
      </c>
      <c r="D5" s="10" t="inlineStr">
        <is>
          <t>08-20 10:17</t>
        </is>
      </c>
      <c r="E5" s="10" t="inlineStr">
        <is>
          <t>08-20 14:12</t>
        </is>
      </c>
      <c r="F5" s="10" t="n">
        <v>235</v>
      </c>
      <c r="G5" s="10" t="n">
        <v>10</v>
      </c>
      <c r="H5" s="10" t="n">
        <v>12.8</v>
      </c>
      <c r="I5" s="10" t="n">
        <v>20.9</v>
      </c>
      <c r="J5" s="10" t="n"/>
      <c r="K5" s="10" t="n"/>
      <c r="L5" s="6" t="n">
        <v>0.7929999999999999</v>
      </c>
      <c r="M5" s="6" t="n">
        <v>0.6328</v>
      </c>
      <c r="N5" s="4" t="n">
        <v>810</v>
      </c>
      <c r="O5" s="10" t="inlineStr">
        <is>
          <t>Other</t>
        </is>
      </c>
      <c r="P5" s="10" t="inlineStr">
        <is>
          <t>Closed</t>
        </is>
      </c>
      <c r="Q5" s="10" t="inlineStr"/>
      <c r="R5" s="4" t="n">
        <v>3.26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13" customWidth="1" min="3" max="3"/>
    <col width="8" customWidth="1" min="4" max="4"/>
    <col width="7" customWidth="1" min="5" max="5"/>
    <col width="8" customWidth="1" min="6" max="6"/>
  </cols>
  <sheetData>
    <row r="1">
      <c r="A1" s="8" t="inlineStr">
        <is>
          <t>Date</t>
        </is>
      </c>
      <c r="B1" s="8" t="inlineStr">
        <is>
          <t>Net P&amp;L $</t>
        </is>
      </c>
      <c r="C1" s="8" t="inlineStr">
        <is>
          <t>Cumulative $</t>
        </is>
      </c>
      <c r="D1" s="8" t="inlineStr">
        <is>
          <t>Trades</t>
        </is>
      </c>
      <c r="E1" s="8" t="inlineStr">
        <is>
          <t>Wins</t>
        </is>
      </c>
      <c r="F1" s="8" t="inlineStr">
        <is>
          <t>Losses</t>
        </is>
      </c>
    </row>
    <row r="2">
      <c r="A2" t="inlineStr">
        <is>
          <t>08/17</t>
        </is>
      </c>
      <c r="B2" s="11">
        <f>SUMPRODUCT((TEXT(Trades!$A$2:$A$5,"yyyy-mm-dd")="2026-08-17")*Trades!$N$2:$N$5)</f>
        <v/>
      </c>
      <c r="C2" s="11">
        <f>SUM($B$2:B2)</f>
        <v/>
      </c>
      <c r="D2">
        <f>SUMPRODUCT((TEXT(Trades!$A$2:$A$5,"yyyy-mm-dd")="2026-08-17")*(Trades!$P$2:$P$5="Closed")*1)</f>
        <v/>
      </c>
      <c r="E2">
        <f>SUMPRODUCT((TEXT(Trades!$A$2:$A$5,"yyyy-mm-dd")="2026-08-17")*(Trades!$N$2:$N$5&gt;0)*1)</f>
        <v/>
      </c>
      <c r="F2">
        <f>D2-E2</f>
        <v/>
      </c>
    </row>
    <row r="3">
      <c r="A3" t="inlineStr">
        <is>
          <t>08/18</t>
        </is>
      </c>
      <c r="B3" s="11">
        <f>SUMPRODUCT((TEXT(Trades!$A$2:$A$5,"yyyy-mm-dd")="2026-08-18")*Trades!$N$2:$N$5)</f>
        <v/>
      </c>
      <c r="C3" s="11">
        <f>SUM($B$2:B3)</f>
        <v/>
      </c>
      <c r="D3">
        <f>SUMPRODUCT((TEXT(Trades!$A$2:$A$5,"yyyy-mm-dd")="2026-08-18")*(Trades!$P$2:$P$5="Closed")*1)</f>
        <v/>
      </c>
      <c r="E3">
        <f>SUMPRODUCT((TEXT(Trades!$A$2:$A$5,"yyyy-mm-dd")="2026-08-18")*(Trades!$N$2:$N$5&gt;0)*1)</f>
        <v/>
      </c>
      <c r="F3">
        <f>D3-E3</f>
        <v/>
      </c>
    </row>
    <row r="4">
      <c r="A4" t="inlineStr">
        <is>
          <t>08/19</t>
        </is>
      </c>
      <c r="B4" s="11">
        <f>SUMPRODUCT((TEXT(Trades!$A$2:$A$5,"yyyy-mm-dd")="2026-08-19")*Trades!$N$2:$N$5)</f>
        <v/>
      </c>
      <c r="C4" s="11">
        <f>SUM($B$2:B4)</f>
        <v/>
      </c>
      <c r="D4">
        <f>SUMPRODUCT((TEXT(Trades!$A$2:$A$5,"yyyy-mm-dd")="2026-08-19")*(Trades!$P$2:$P$5="Closed")*1)</f>
        <v/>
      </c>
      <c r="E4">
        <f>SUMPRODUCT((TEXT(Trades!$A$2:$A$5,"yyyy-mm-dd")="2026-08-19")*(Trades!$N$2:$N$5&gt;0)*1)</f>
        <v/>
      </c>
      <c r="F4">
        <f>D4-E4</f>
        <v/>
      </c>
    </row>
    <row r="5">
      <c r="A5" t="inlineStr">
        <is>
          <t>08/20</t>
        </is>
      </c>
      <c r="B5" s="11">
        <f>SUMPRODUCT((TEXT(Trades!$A$2:$A$5,"yyyy-mm-dd")="2026-08-20")*Trades!$N$2:$N$5)</f>
        <v/>
      </c>
      <c r="C5" s="11">
        <f>SUM($B$2:B5)</f>
        <v/>
      </c>
      <c r="D5">
        <f>SUMPRODUCT((TEXT(Trades!$A$2:$A$5,"yyyy-mm-dd")="2026-08-20")*(Trades!$P$2:$P$5="Closed")*1)</f>
        <v/>
      </c>
      <c r="E5">
        <f>SUMPRODUCT((TEXT(Trades!$A$2:$A$5,"yyyy-mm-dd")="2026-08-20")*(Trades!$N$2:$N$5&gt;0)*1)</f>
        <v/>
      </c>
      <c r="F5">
        <f>D5-E5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cols>
    <col width="20" customWidth="1" min="1" max="1"/>
    <col width="12" customWidth="1" min="2" max="2"/>
    <col width="8" customWidth="1" min="3" max="3"/>
    <col width="10" customWidth="1" min="4" max="4"/>
  </cols>
  <sheetData>
    <row r="1">
      <c r="A1" s="12" t="inlineStr">
        <is>
          <t>By Symbol</t>
        </is>
      </c>
    </row>
    <row r="2">
      <c r="A2" s="8" t="inlineStr">
        <is>
          <t>Symbol</t>
        </is>
      </c>
      <c r="B2" s="8" t="inlineStr">
        <is>
          <t>P&amp;L $</t>
        </is>
      </c>
      <c r="C2" s="8" t="inlineStr">
        <is>
          <t>Trades</t>
        </is>
      </c>
      <c r="D2" s="8" t="inlineStr">
        <is>
          <t>Win rate</t>
        </is>
      </c>
    </row>
    <row r="3">
      <c r="A3" t="inlineStr">
        <is>
          <t>SPX</t>
        </is>
      </c>
      <c r="B3" s="11">
        <f>SUMIFS(Trades!$N$2:$N$5,Trades!$B$2:$B$5,A3)</f>
        <v/>
      </c>
      <c r="C3">
        <f>COUNTIFS(Trades!$B$2:$B$5,A3,Trades!$P$2:$P$5,"Closed")</f>
        <v/>
      </c>
      <c r="D3" s="13">
        <f>IF(C3=0,0,COUNTIFS(Trades!$B$2:$B$5,A3,Trades!$N$2:$N$5,"&gt;0")/C3)</f>
        <v/>
      </c>
    </row>
    <row r="6">
      <c r="A6" s="12" t="inlineStr">
        <is>
          <t>By Exit Rule</t>
        </is>
      </c>
    </row>
    <row r="7">
      <c r="A7" s="8" t="inlineStr">
        <is>
          <t>Exit Rule</t>
        </is>
      </c>
      <c r="B7" s="8" t="inlineStr">
        <is>
          <t>P&amp;L $</t>
        </is>
      </c>
      <c r="C7" s="8" t="inlineStr">
        <is>
          <t>Count</t>
        </is>
      </c>
      <c r="D7" s="8" t="inlineStr">
        <is>
          <t>Avg P&amp;L $</t>
        </is>
      </c>
    </row>
    <row r="8">
      <c r="A8" t="inlineStr">
        <is>
          <t>Invalidation</t>
        </is>
      </c>
      <c r="B8" s="11">
        <f>SUMIFS(Trades!$N$2:$N$5,Trades!$O$2:$O$5,A8)</f>
        <v/>
      </c>
      <c r="C8">
        <f>COUNTIF(Trades!$O$2:$O$5,A8)</f>
        <v/>
      </c>
      <c r="D8" s="11">
        <f>IF(C8=0,0,B8/C8)</f>
        <v/>
      </c>
    </row>
    <row r="9">
      <c r="A9" t="inlineStr">
        <is>
          <t>Hard Stop</t>
        </is>
      </c>
      <c r="B9" s="11">
        <f>SUMIFS(Trades!$N$2:$N$5,Trades!$O$2:$O$5,A9)</f>
        <v/>
      </c>
      <c r="C9">
        <f>COUNTIF(Trades!$O$2:$O$5,A9)</f>
        <v/>
      </c>
      <c r="D9" s="11">
        <f>IF(C9=0,0,B9/C9)</f>
        <v/>
      </c>
    </row>
    <row r="10">
      <c r="A10" t="inlineStr">
        <is>
          <t>Trail (new)</t>
        </is>
      </c>
      <c r="B10" s="11">
        <f>SUMIFS(Trades!$N$2:$N$5,Trades!$O$2:$O$5,A10)</f>
        <v/>
      </c>
      <c r="C10">
        <f>COUNTIF(Trades!$O$2:$O$5,A10)</f>
        <v/>
      </c>
      <c r="D10" s="11">
        <f>IF(C10=0,0,B10/C10)</f>
        <v/>
      </c>
    </row>
    <row r="11">
      <c r="A11" t="inlineStr">
        <is>
          <t>Old rule (removed)</t>
        </is>
      </c>
      <c r="B11" s="11">
        <f>SUMIFS(Trades!$N$2:$N$5,Trades!$O$2:$O$5,A11)</f>
        <v/>
      </c>
      <c r="C11">
        <f>COUNTIF(Trades!$O$2:$O$5,A11)</f>
        <v/>
      </c>
      <c r="D11" s="11">
        <f>IF(C11=0,0,B11/C11)</f>
        <v/>
      </c>
    </row>
    <row r="14">
      <c r="A14" s="12" t="inlineStr">
        <is>
          <t>By Entry Hour (ET)</t>
        </is>
      </c>
    </row>
    <row r="15">
      <c r="A15" s="8" t="inlineStr">
        <is>
          <t>Hour</t>
        </is>
      </c>
      <c r="B15" s="8" t="inlineStr">
        <is>
          <t>P&amp;L $</t>
        </is>
      </c>
      <c r="C15" s="8" t="inlineStr">
        <is>
          <t>Trades</t>
        </is>
      </c>
    </row>
    <row r="16">
      <c r="A16" t="inlineStr">
        <is>
          <t>9:00</t>
        </is>
      </c>
      <c r="B16" s="11">
        <f>SUMIFS(Trades!$N$2:$N$5,Trades!$G$2:$G$5,9)</f>
        <v/>
      </c>
      <c r="C16">
        <f>COUNTIFS(Trades!$G$2:$G$5,9,Trades!$P$2:$P$5,"Closed")</f>
        <v/>
      </c>
    </row>
    <row r="17">
      <c r="A17" t="inlineStr">
        <is>
          <t>10:00</t>
        </is>
      </c>
      <c r="B17" s="11">
        <f>SUMIFS(Trades!$N$2:$N$5,Trades!$G$2:$G$5,10)</f>
        <v/>
      </c>
      <c r="C17">
        <f>COUNTIFS(Trades!$G$2:$G$5,10,Trades!$P$2:$P$5,"Closed")</f>
        <v/>
      </c>
    </row>
    <row r="18">
      <c r="A18" t="inlineStr">
        <is>
          <t>11:00</t>
        </is>
      </c>
      <c r="B18" s="11">
        <f>SUMIFS(Trades!$N$2:$N$5,Trades!$G$2:$G$5,11)</f>
        <v/>
      </c>
      <c r="C18">
        <f>COUNTIFS(Trades!$G$2:$G$5,11,Trades!$P$2:$P$5,"Closed")</f>
        <v/>
      </c>
    </row>
    <row r="19">
      <c r="A19" t="inlineStr">
        <is>
          <t>12:00</t>
        </is>
      </c>
      <c r="B19" s="11">
        <f>SUMIFS(Trades!$N$2:$N$5,Trades!$G$2:$G$5,12)</f>
        <v/>
      </c>
      <c r="C19">
        <f>COUNTIFS(Trades!$G$2:$G$5,12,Trades!$P$2:$P$5,"Closed")</f>
        <v/>
      </c>
    </row>
    <row r="20">
      <c r="A20" t="inlineStr">
        <is>
          <t>13:00</t>
        </is>
      </c>
      <c r="B20" s="11">
        <f>SUMIFS(Trades!$N$2:$N$5,Trades!$G$2:$G$5,13)</f>
        <v/>
      </c>
      <c r="C20">
        <f>COUNTIFS(Trades!$G$2:$G$5,13,Trades!$P$2:$P$5,"Closed")</f>
        <v/>
      </c>
    </row>
    <row r="21">
      <c r="A21" t="inlineStr">
        <is>
          <t>14:00</t>
        </is>
      </c>
      <c r="B21" s="11">
        <f>SUMIFS(Trades!$N$2:$N$5,Trades!$G$2:$G$5,14)</f>
        <v/>
      </c>
      <c r="C21">
        <f>COUNTIFS(Trades!$G$2:$G$5,14,Trades!$P$2:$P$5,"Closed")</f>
        <v/>
      </c>
    </row>
    <row r="22">
      <c r="A22" t="inlineStr">
        <is>
          <t>15:00</t>
        </is>
      </c>
      <c r="B22" s="11">
        <f>SUMIFS(Trades!$N$2:$N$5,Trades!$G$2:$G$5,15)</f>
        <v/>
      </c>
      <c r="C22">
        <f>COUNTIFS(Trades!$G$2:$G$5,15,Trades!$P$2:$P$5,"Closed")</f>
        <v/>
      </c>
    </row>
    <row r="25">
      <c r="A25" s="12" t="inlineStr">
        <is>
          <t>By Conviction Tier</t>
        </is>
      </c>
    </row>
    <row r="26">
      <c r="A26" s="8" t="inlineStr">
        <is>
          <t>Tier</t>
        </is>
      </c>
      <c r="B26" s="8" t="inlineStr">
        <is>
          <t>P&amp;L $</t>
        </is>
      </c>
      <c r="C26" s="8" t="inlineStr">
        <is>
          <t>Trades</t>
        </is>
      </c>
      <c r="D26" s="8" t="inlineStr">
        <is>
          <t>Win rate</t>
        </is>
      </c>
    </row>
    <row r="27">
      <c r="A27" t="inlineStr">
        <is>
          <t>LOW</t>
        </is>
      </c>
      <c r="B27" s="11">
        <f>SUMIFS(Trades!$N$2:$N$5,Trades!$Q$2:$Q$5,A27&amp;" *")</f>
        <v/>
      </c>
      <c r="C27">
        <f>COUNTIFS(Trades!$Q$2:$Q$5,A27&amp;" *",Trades!$P$2:$P$5,"Closed")</f>
        <v/>
      </c>
      <c r="D27" s="13">
        <f>IF(C27=0,0,COUNTIFS(Trades!$Q$2:$Q$5,A27&amp;" *",Trades!$N$2:$N$5,"&gt;0")/C27)</f>
        <v/>
      </c>
    </row>
    <row r="28">
      <c r="A28" t="inlineStr">
        <is>
          <t>MEDIUM</t>
        </is>
      </c>
      <c r="B28" s="11">
        <f>SUMIFS(Trades!$N$2:$N$5,Trades!$Q$2:$Q$5,A28&amp;" *")</f>
        <v/>
      </c>
      <c r="C28">
        <f>COUNTIFS(Trades!$Q$2:$Q$5,A28&amp;" *",Trades!$P$2:$P$5,"Closed")</f>
        <v/>
      </c>
      <c r="D28" s="13">
        <f>IF(C28=0,0,COUNTIFS(Trades!$Q$2:$Q$5,A28&amp;" *",Trades!$N$2:$N$5,"&gt;0")/C28)</f>
        <v/>
      </c>
    </row>
    <row r="29">
      <c r="A29" t="inlineStr">
        <is>
          <t>HIGH</t>
        </is>
      </c>
      <c r="B29" s="11">
        <f>SUMIFS(Trades!$N$2:$N$5,Trades!$Q$2:$Q$5,A29&amp;" *")</f>
        <v/>
      </c>
      <c r="C29">
        <f>COUNTIFS(Trades!$Q$2:$Q$5,A29&amp;" *",Trades!$P$2:$P$5,"Closed")</f>
        <v/>
      </c>
      <c r="D29" s="13">
        <f>IF(C29=0,0,COUNTIFS(Trades!$Q$2:$Q$5,A29&amp;" *",Trades!$N$2:$N$5,"&gt;0")/C29)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2026-08-20T20:00:58Z</dcterms:created>
  <dcterms:modified xsi:type="dcterms:W3CDTF">2026-08-20T20:00:58Z</dcterms:modified>
</cp:coreProperties>
</file>