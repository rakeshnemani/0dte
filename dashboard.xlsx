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'Daily'!$A$2:$A$3</f>
            </numRef>
          </cat>
          <val>
            <numRef>
              <f>'Daily'!$B$2:$B$3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'Daily'!$A$2:$A$3</f>
            </numRef>
          </cat>
          <val>
            <numRef>
              <f>'Daily'!$C$2:$C$3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2026-08-18 15:00 — refresh: python scripts/build_dashboard.py</t>
        </is>
      </c>
    </row>
    <row r="4">
      <c r="A4" s="3" t="inlineStr">
        <is>
          <t>Total P&amp;L $</t>
        </is>
      </c>
      <c r="B4" s="4">
        <f>SUM(Trades!$N$2:$N$3)</f>
        <v/>
      </c>
    </row>
    <row r="5">
      <c r="A5" s="3" t="inlineStr">
        <is>
          <t>Closed trades</t>
        </is>
      </c>
      <c r="B5" s="5">
        <f>COUNTIF(Trades!$P$2:$P$3,"Closed")</f>
        <v/>
      </c>
    </row>
    <row r="6">
      <c r="A6" s="3" t="inlineStr">
        <is>
          <t>Win rate</t>
        </is>
      </c>
      <c r="B6" s="6">
        <f>COUNTIF(Trades!$N$2:$N$3,"&gt;0")/B5</f>
        <v/>
      </c>
    </row>
    <row r="7">
      <c r="A7" s="3" t="inlineStr">
        <is>
          <t>Avg win $</t>
        </is>
      </c>
      <c r="B7" s="4">
        <f>AVERAGEIF(Trades!$N$2:$N$3,"&gt;0")</f>
        <v/>
      </c>
    </row>
    <row r="8">
      <c r="A8" s="3" t="inlineStr">
        <is>
          <t>Avg loss $</t>
        </is>
      </c>
      <c r="B8" s="4">
        <f>IF(COUNTIF(Trades!$N$2:$N$3,"&lt;0")=0,0,AVERAGEIF(Trades!$N$2:$N$3,"&lt;0"))</f>
        <v/>
      </c>
    </row>
    <row r="9">
      <c r="A9" s="3" t="inlineStr">
        <is>
          <t>Profit factor</t>
        </is>
      </c>
      <c r="B9" s="7">
        <f>IF(SUMIF(Trades!$N$2:$N$3,"&lt;0")=0,0,-SUMIF(Trades!$N$2:$N$3,"&gt;0")/SUMIF(Trades!$N$2:$N$3,"&lt;0"))</f>
        <v/>
      </c>
    </row>
    <row r="10">
      <c r="A10" s="3" t="inlineStr">
        <is>
          <t>Best day $</t>
        </is>
      </c>
      <c r="B10" s="4">
        <f>MAX(Daily!$B$2:$B$3)</f>
        <v/>
      </c>
    </row>
    <row r="11">
      <c r="A11" s="3" t="inlineStr">
        <is>
          <t>Worst day $</t>
        </is>
      </c>
      <c r="B11" s="4">
        <f>MIN(Daily!$B$2:$B$3)</f>
        <v/>
      </c>
    </row>
    <row r="12">
      <c r="A12" s="3" t="inlineStr">
        <is>
          <t>Commissions $</t>
        </is>
      </c>
      <c r="B12" s="4">
        <f>SUM(Trades!$R$2:$R$3)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SUMPRODUCT((TEXT(Trades!$A$2:$A$3,"yyyy-mm-dd")="2026-08-17")*Trades!$N$2:$N$3)</f>
        <v/>
      </c>
      <c r="C2" s="11">
        <f>SUM($B$2:B2)</f>
        <v/>
      </c>
      <c r="D2">
        <f>SUMPRODUCT((TEXT(Trades!$A$2:$A$3,"yyyy-mm-dd")="2026-08-17")*(Trades!$P$2:$P$3="Closed")*1)</f>
        <v/>
      </c>
      <c r="E2">
        <f>SUMPRODUCT((TEXT(Trades!$A$2:$A$3,"yyyy-mm-dd")="2026-08-17")*(Trades!$N$2:$N$3&gt;0)*1)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SUMPRODUCT((TEXT(Trades!$A$2:$A$3,"yyyy-mm-dd")="2026-08-18")*Trades!$N$2:$N$3)</f>
        <v/>
      </c>
      <c r="C3" s="11">
        <f>SUM($B$2:B3)</f>
        <v/>
      </c>
      <c r="D3">
        <f>SUMPRODUCT((TEXT(Trades!$A$2:$A$3,"yyyy-mm-dd")="2026-08-18")*(Trades!$P$2:$P$3="Closed")*1)</f>
        <v/>
      </c>
      <c r="E3">
        <f>SUMPRODUCT((TEXT(Trades!$A$2:$A$3,"yyyy-mm-dd")="2026-08-18")*(Trades!$N$2:$N$3&gt;0)*1)</f>
        <v/>
      </c>
      <c r="F3">
        <f>D3-E3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SUMIFS(Trades!$N$2:$N$3,Trades!$B$2:$B$3,A3)</f>
        <v/>
      </c>
      <c r="C3">
        <f>COUNTIFS(Trades!$B$2:$B$3,A3,Trades!$P$2:$P$3,"Closed")</f>
        <v/>
      </c>
      <c r="D3" s="13">
        <f>IF(C3=0,0,COUNTIFS(Trades!$B$2:$B$3,A3,Trades!$N$2:$N$3,"&gt;0")/C3)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SUMIFS(Trades!$N$2:$N$3,Trades!$O$2:$O$3,A8)</f>
        <v/>
      </c>
      <c r="C8">
        <f>COUNTIF(Trades!$O$2:$O$3,A8)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SUMIFS(Trades!$N$2:$N$3,Trades!$O$2:$O$3,A9)</f>
        <v/>
      </c>
      <c r="C9">
        <f>COUNTIF(Trades!$O$2:$O$3,A9)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SUMIFS(Trades!$N$2:$N$3,Trades!$O$2:$O$3,A10)</f>
        <v/>
      </c>
      <c r="C10">
        <f>COUNTIF(Trades!$O$2:$O$3,A10)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SUMIFS(Trades!$N$2:$N$3,Trades!$O$2:$O$3,A11)</f>
        <v/>
      </c>
      <c r="C11">
        <f>COUNTIF(Trades!$O$2:$O$3,A11)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SUMIFS(Trades!$N$2:$N$3,Trades!$G$2:$G$3,9)</f>
        <v/>
      </c>
      <c r="C16">
        <f>COUNTIFS(Trades!$G$2:$G$3,9,Trades!$P$2:$P$3,"Closed")</f>
        <v/>
      </c>
    </row>
    <row r="17">
      <c r="A17" t="inlineStr">
        <is>
          <t>10:00</t>
        </is>
      </c>
      <c r="B17" s="11">
        <f>SUMIFS(Trades!$N$2:$N$3,Trades!$G$2:$G$3,10)</f>
        <v/>
      </c>
      <c r="C17">
        <f>COUNTIFS(Trades!$G$2:$G$3,10,Trades!$P$2:$P$3,"Closed")</f>
        <v/>
      </c>
    </row>
    <row r="18">
      <c r="A18" t="inlineStr">
        <is>
          <t>11:00</t>
        </is>
      </c>
      <c r="B18" s="11">
        <f>SUMIFS(Trades!$N$2:$N$3,Trades!$G$2:$G$3,11)</f>
        <v/>
      </c>
      <c r="C18">
        <f>COUNTIFS(Trades!$G$2:$G$3,11,Trades!$P$2:$P$3,"Closed")</f>
        <v/>
      </c>
    </row>
    <row r="19">
      <c r="A19" t="inlineStr">
        <is>
          <t>12:00</t>
        </is>
      </c>
      <c r="B19" s="11">
        <f>SUMIFS(Trades!$N$2:$N$3,Trades!$G$2:$G$3,12)</f>
        <v/>
      </c>
      <c r="C19">
        <f>COUNTIFS(Trades!$G$2:$G$3,12,Trades!$P$2:$P$3,"Closed")</f>
        <v/>
      </c>
    </row>
    <row r="20">
      <c r="A20" t="inlineStr">
        <is>
          <t>13:00</t>
        </is>
      </c>
      <c r="B20" s="11">
        <f>SUMIFS(Trades!$N$2:$N$3,Trades!$G$2:$G$3,13)</f>
        <v/>
      </c>
      <c r="C20">
        <f>COUNTIFS(Trades!$G$2:$G$3,13,Trades!$P$2:$P$3,"Closed")</f>
        <v/>
      </c>
    </row>
    <row r="21">
      <c r="A21" t="inlineStr">
        <is>
          <t>14:00</t>
        </is>
      </c>
      <c r="B21" s="11">
        <f>SUMIFS(Trades!$N$2:$N$3,Trades!$G$2:$G$3,14)</f>
        <v/>
      </c>
      <c r="C21">
        <f>COUNTIFS(Trades!$G$2:$G$3,14,Trades!$P$2:$P$3,"Closed")</f>
        <v/>
      </c>
    </row>
    <row r="22">
      <c r="A22" t="inlineStr">
        <is>
          <t>15:00</t>
        </is>
      </c>
      <c r="B22" s="11">
        <f>SUMIFS(Trades!$N$2:$N$3,Trades!$G$2:$G$3,15)</f>
        <v/>
      </c>
      <c r="C22">
        <f>COUNTIFS(Trades!$G$2:$G$3,15,Trades!$P$2:$P$3,"Closed")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SUMIFS(Trades!$N$2:$N$3,Trades!$Q$2:$Q$3,A27&amp;" *")</f>
        <v/>
      </c>
      <c r="C27">
        <f>COUNTIFS(Trades!$Q$2:$Q$3,A27&amp;" *",Trades!$P$2:$P$3,"Closed")</f>
        <v/>
      </c>
      <c r="D27" s="13">
        <f>IF(C27=0,0,COUNTIFS(Trades!$Q$2:$Q$3,A27&amp;" *",Trades!$N$2:$N$3,"&gt;0")/C27)</f>
        <v/>
      </c>
    </row>
    <row r="28">
      <c r="A28" t="inlineStr">
        <is>
          <t>MEDIUM</t>
        </is>
      </c>
      <c r="B28" s="11">
        <f>SUMIFS(Trades!$N$2:$N$3,Trades!$Q$2:$Q$3,A28&amp;" *")</f>
        <v/>
      </c>
      <c r="C28">
        <f>COUNTIFS(Trades!$Q$2:$Q$3,A28&amp;" *",Trades!$P$2:$P$3,"Closed")</f>
        <v/>
      </c>
      <c r="D28" s="13">
        <f>IF(C28=0,0,COUNTIFS(Trades!$Q$2:$Q$3,A28&amp;" *",Trades!$N$2:$N$3,"&gt;0")/C28)</f>
        <v/>
      </c>
    </row>
    <row r="29">
      <c r="A29" t="inlineStr">
        <is>
          <t>HIGH</t>
        </is>
      </c>
      <c r="B29" s="11">
        <f>SUMIFS(Trades!$N$2:$N$3,Trades!$Q$2:$Q$3,A29&amp;" *")</f>
        <v/>
      </c>
      <c r="C29">
        <f>COUNTIFS(Trades!$Q$2:$Q$3,A29&amp;" *",Trades!$P$2:$P$3,"Closed")</f>
        <v/>
      </c>
      <c r="D29" s="13">
        <f>IF(C29=0,0,COUNTIFS(Trades!$Q$2:$Q$3,A29&amp;" *",Trades!$N$2:$N$3,"&gt;0")/C29)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2026-08-18T20:00:51Z</dcterms:created>
  <dcterms:modified xsi:type="dcterms:W3CDTF">2026-08-18T20:00:51Z</dcterms:modified>
</cp:coreProperties>
</file>